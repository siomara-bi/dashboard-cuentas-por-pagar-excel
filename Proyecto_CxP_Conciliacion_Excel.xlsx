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OMARA\Downloads\"/>
    </mc:Choice>
  </mc:AlternateContent>
  <xr:revisionPtr revIDLastSave="0" documentId="13_ncr:1_{B459C5C6-D215-45F8-8256-721A58BE99FA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Proveedores" sheetId="1" r:id="rId1"/>
    <sheet name="Facturas" sheetId="2" r:id="rId2"/>
    <sheet name="Pagos" sheetId="3" r:id="rId3"/>
    <sheet name="Banco" sheetId="4" r:id="rId4"/>
    <sheet name="Conciliación" sheetId="5" r:id="rId5"/>
    <sheet name="Reportes" sheetId="6" r:id="rId6"/>
    <sheet name="Dashboard" sheetId="7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46" i="5"/>
  <c r="A46" i="5"/>
  <c r="C45" i="5"/>
  <c r="B45" i="5"/>
  <c r="A45" i="5"/>
  <c r="C44" i="5"/>
  <c r="B44" i="5"/>
  <c r="A44" i="5"/>
  <c r="B43" i="5"/>
  <c r="A43" i="5"/>
  <c r="C42" i="5"/>
  <c r="B42" i="5"/>
  <c r="A42" i="5"/>
  <c r="C41" i="5"/>
  <c r="B41" i="5"/>
  <c r="A41" i="5"/>
  <c r="B40" i="5"/>
  <c r="A40" i="5"/>
  <c r="C39" i="5"/>
  <c r="B39" i="5"/>
  <c r="A39" i="5"/>
  <c r="B38" i="5"/>
  <c r="A38" i="5"/>
  <c r="C37" i="5"/>
  <c r="B37" i="5"/>
  <c r="A37" i="5"/>
  <c r="B36" i="5"/>
  <c r="A36" i="5"/>
  <c r="C35" i="5"/>
  <c r="B35" i="5"/>
  <c r="A35" i="5"/>
  <c r="B34" i="5"/>
  <c r="A34" i="5"/>
  <c r="C33" i="5"/>
  <c r="B33" i="5"/>
  <c r="A33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B27" i="5"/>
  <c r="A27" i="5"/>
  <c r="C26" i="5"/>
  <c r="B26" i="5"/>
  <c r="A26" i="5"/>
  <c r="C25" i="5"/>
  <c r="B25" i="5"/>
  <c r="A25" i="5"/>
  <c r="B24" i="5"/>
  <c r="A24" i="5"/>
  <c r="C23" i="5"/>
  <c r="B23" i="5"/>
  <c r="A23" i="5"/>
  <c r="B22" i="5"/>
  <c r="A22" i="5"/>
  <c r="C21" i="5"/>
  <c r="B21" i="5"/>
  <c r="A21" i="5"/>
  <c r="C20" i="5"/>
  <c r="B20" i="5"/>
  <c r="A20" i="5"/>
  <c r="C19" i="5"/>
  <c r="B19" i="5"/>
  <c r="A19" i="5"/>
  <c r="B18" i="5"/>
  <c r="A18" i="5"/>
  <c r="C17" i="5"/>
  <c r="B17" i="5"/>
  <c r="A17" i="5"/>
  <c r="B16" i="5"/>
  <c r="A16" i="5"/>
  <c r="C15" i="5"/>
  <c r="B15" i="5"/>
  <c r="A15" i="5"/>
  <c r="C14" i="5"/>
  <c r="B14" i="5"/>
  <c r="A14" i="5"/>
  <c r="C13" i="5"/>
  <c r="B13" i="5"/>
  <c r="A13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F7" i="5"/>
  <c r="C7" i="5"/>
  <c r="B7" i="5"/>
  <c r="A7" i="5"/>
  <c r="F6" i="5"/>
  <c r="C6" i="5"/>
  <c r="B6" i="5"/>
  <c r="A6" i="5"/>
  <c r="B5" i="5"/>
  <c r="A5" i="5"/>
  <c r="F4" i="5"/>
  <c r="C4" i="5"/>
  <c r="B4" i="5"/>
  <c r="A4" i="5"/>
  <c r="C3" i="5"/>
  <c r="B3" i="5"/>
  <c r="A3" i="5"/>
  <c r="F2" i="5"/>
  <c r="C2" i="5"/>
  <c r="B2" i="5"/>
  <c r="A2" i="5"/>
  <c r="C46" i="4"/>
  <c r="C46" i="5" s="1"/>
  <c r="C45" i="4"/>
  <c r="C44" i="4"/>
  <c r="C43" i="4"/>
  <c r="C43" i="5" s="1"/>
  <c r="C42" i="4"/>
  <c r="C41" i="4"/>
  <c r="C40" i="4"/>
  <c r="C40" i="5" s="1"/>
  <c r="C39" i="4"/>
  <c r="C38" i="4"/>
  <c r="C38" i="5" s="1"/>
  <c r="C37" i="4"/>
  <c r="C36" i="4"/>
  <c r="C36" i="5" s="1"/>
  <c r="C34" i="4"/>
  <c r="C34" i="5" s="1"/>
  <c r="C33" i="4"/>
  <c r="C32" i="4"/>
  <c r="C32" i="5" s="1"/>
  <c r="C29" i="4"/>
  <c r="C27" i="4"/>
  <c r="C27" i="5" s="1"/>
  <c r="C26" i="4"/>
  <c r="C25" i="4"/>
  <c r="C24" i="4"/>
  <c r="C24" i="5" s="1"/>
  <c r="C23" i="4"/>
  <c r="C22" i="4"/>
  <c r="C22" i="5" s="1"/>
  <c r="C19" i="4"/>
  <c r="C18" i="4"/>
  <c r="C18" i="5" s="1"/>
  <c r="C16" i="4"/>
  <c r="C16" i="5" s="1"/>
  <c r="C12" i="4"/>
  <c r="C12" i="5" s="1"/>
  <c r="C11" i="4"/>
  <c r="C10" i="4"/>
  <c r="C5" i="4"/>
  <c r="C5" i="5" s="1"/>
  <c r="C3" i="4"/>
  <c r="E37" i="3"/>
  <c r="F37" i="3" s="1"/>
  <c r="G37" i="3" s="1"/>
  <c r="E36" i="3"/>
  <c r="D36" i="3" s="1"/>
  <c r="E15" i="3"/>
  <c r="E11" i="3"/>
  <c r="F11" i="3" s="1"/>
  <c r="G11" i="3" s="1"/>
  <c r="J91" i="2"/>
  <c r="I91" i="2"/>
  <c r="H91" i="2"/>
  <c r="F91" i="2"/>
  <c r="E91" i="2"/>
  <c r="J90" i="2"/>
  <c r="I90" i="2"/>
  <c r="H90" i="2"/>
  <c r="F90" i="2"/>
  <c r="E90" i="2"/>
  <c r="J89" i="2"/>
  <c r="I89" i="2"/>
  <c r="H89" i="2"/>
  <c r="F89" i="2"/>
  <c r="E17" i="3" s="1"/>
  <c r="F17" i="3" s="1"/>
  <c r="G17" i="3" s="1"/>
  <c r="E89" i="2"/>
  <c r="J88" i="2"/>
  <c r="I88" i="2"/>
  <c r="H88" i="2"/>
  <c r="F88" i="2"/>
  <c r="E88" i="2"/>
  <c r="J87" i="2"/>
  <c r="I87" i="2"/>
  <c r="H87" i="2"/>
  <c r="E87" i="2"/>
  <c r="F87" i="2" s="1"/>
  <c r="J86" i="2"/>
  <c r="H86" i="2"/>
  <c r="E86" i="2"/>
  <c r="F86" i="2" s="1"/>
  <c r="J85" i="2"/>
  <c r="I85" i="2"/>
  <c r="H85" i="2"/>
  <c r="E85" i="2"/>
  <c r="F85" i="2" s="1"/>
  <c r="E18" i="3" s="1"/>
  <c r="J84" i="2"/>
  <c r="H84" i="2"/>
  <c r="E84" i="2"/>
  <c r="F84" i="2" s="1"/>
  <c r="J83" i="2"/>
  <c r="I83" i="2"/>
  <c r="H83" i="2"/>
  <c r="E83" i="2"/>
  <c r="F83" i="2" s="1"/>
  <c r="J82" i="2"/>
  <c r="H82" i="2"/>
  <c r="E82" i="2"/>
  <c r="F82" i="2" s="1"/>
  <c r="I82" i="2" s="1"/>
  <c r="J81" i="2"/>
  <c r="I81" i="2"/>
  <c r="H81" i="2"/>
  <c r="E81" i="2"/>
  <c r="F81" i="2" s="1"/>
  <c r="E6" i="3" s="1"/>
  <c r="J80" i="2"/>
  <c r="I80" i="2"/>
  <c r="H80" i="2"/>
  <c r="F80" i="2"/>
  <c r="E80" i="2"/>
  <c r="J79" i="2"/>
  <c r="I79" i="2"/>
  <c r="H79" i="2"/>
  <c r="F79" i="2"/>
  <c r="E79" i="2"/>
  <c r="J78" i="2"/>
  <c r="I78" i="2"/>
  <c r="H78" i="2"/>
  <c r="F78" i="2"/>
  <c r="E78" i="2"/>
  <c r="J77" i="2"/>
  <c r="I77" i="2"/>
  <c r="H77" i="2"/>
  <c r="F77" i="2"/>
  <c r="E27" i="3" s="1"/>
  <c r="F27" i="3" s="1"/>
  <c r="G27" i="3" s="1"/>
  <c r="E77" i="2"/>
  <c r="J76" i="2"/>
  <c r="I76" i="2"/>
  <c r="H76" i="2"/>
  <c r="F76" i="2"/>
  <c r="E28" i="3" s="1"/>
  <c r="E76" i="2"/>
  <c r="J75" i="2"/>
  <c r="I75" i="2"/>
  <c r="H75" i="2"/>
  <c r="E75" i="2"/>
  <c r="F75" i="2" s="1"/>
  <c r="E26" i="3" s="1"/>
  <c r="J74" i="2"/>
  <c r="H74" i="2"/>
  <c r="E74" i="2"/>
  <c r="F74" i="2" s="1"/>
  <c r="I74" i="2" s="1"/>
  <c r="J73" i="2"/>
  <c r="H73" i="2"/>
  <c r="E73" i="2"/>
  <c r="F73" i="2" s="1"/>
  <c r="I73" i="2" s="1"/>
  <c r="J72" i="2"/>
  <c r="H72" i="2"/>
  <c r="E72" i="2"/>
  <c r="F72" i="2" s="1"/>
  <c r="I72" i="2" s="1"/>
  <c r="J71" i="2"/>
  <c r="I71" i="2"/>
  <c r="H71" i="2"/>
  <c r="E71" i="2"/>
  <c r="F71" i="2" s="1"/>
  <c r="J70" i="2"/>
  <c r="I70" i="2"/>
  <c r="H70" i="2"/>
  <c r="E70" i="2"/>
  <c r="F70" i="2" s="1"/>
  <c r="E8" i="3" s="1"/>
  <c r="F8" i="3" s="1"/>
  <c r="G8" i="3" s="1"/>
  <c r="J69" i="2"/>
  <c r="I69" i="2"/>
  <c r="H69" i="2"/>
  <c r="E69" i="2"/>
  <c r="F69" i="2" s="1"/>
  <c r="E19" i="3" s="1"/>
  <c r="J68" i="2"/>
  <c r="H68" i="2"/>
  <c r="F68" i="2"/>
  <c r="I68" i="2" s="1"/>
  <c r="E68" i="2"/>
  <c r="J67" i="2"/>
  <c r="I67" i="2"/>
  <c r="H67" i="2"/>
  <c r="F67" i="2"/>
  <c r="E67" i="2"/>
  <c r="J66" i="2"/>
  <c r="I66" i="2"/>
  <c r="H66" i="2"/>
  <c r="F66" i="2"/>
  <c r="E66" i="2"/>
  <c r="J65" i="2"/>
  <c r="I65" i="2"/>
  <c r="H65" i="2"/>
  <c r="F65" i="2"/>
  <c r="E25" i="3" s="1"/>
  <c r="F25" i="3" s="1"/>
  <c r="G25" i="3" s="1"/>
  <c r="E65" i="2"/>
  <c r="J64" i="2"/>
  <c r="I64" i="2"/>
  <c r="H64" i="2"/>
  <c r="F64" i="2"/>
  <c r="E64" i="2"/>
  <c r="J63" i="2"/>
  <c r="I63" i="2"/>
  <c r="H63" i="2"/>
  <c r="E63" i="2"/>
  <c r="F63" i="2" s="1"/>
  <c r="E3" i="3" s="1"/>
  <c r="J62" i="2"/>
  <c r="H62" i="2"/>
  <c r="E62" i="2"/>
  <c r="F62" i="2" s="1"/>
  <c r="I62" i="2" s="1"/>
  <c r="J61" i="2"/>
  <c r="I61" i="2"/>
  <c r="H61" i="2"/>
  <c r="E61" i="2"/>
  <c r="F61" i="2" s="1"/>
  <c r="E7" i="3" s="1"/>
  <c r="J60" i="2"/>
  <c r="I60" i="2"/>
  <c r="H60" i="2"/>
  <c r="E60" i="2"/>
  <c r="F60" i="2" s="1"/>
  <c r="J59" i="2"/>
  <c r="I59" i="2"/>
  <c r="H59" i="2"/>
  <c r="E59" i="2"/>
  <c r="F59" i="2" s="1"/>
  <c r="E9" i="3" s="1"/>
  <c r="J58" i="2"/>
  <c r="I58" i="2"/>
  <c r="H58" i="2"/>
  <c r="E58" i="2"/>
  <c r="F58" i="2" s="1"/>
  <c r="J57" i="2"/>
  <c r="I57" i="2"/>
  <c r="H57" i="2"/>
  <c r="E57" i="2"/>
  <c r="F57" i="2" s="1"/>
  <c r="J56" i="2"/>
  <c r="H56" i="2"/>
  <c r="F56" i="2"/>
  <c r="I56" i="2" s="1"/>
  <c r="E56" i="2"/>
  <c r="J55" i="2"/>
  <c r="I55" i="2"/>
  <c r="H55" i="2"/>
  <c r="F55" i="2"/>
  <c r="E55" i="2"/>
  <c r="J54" i="2"/>
  <c r="I54" i="2"/>
  <c r="H54" i="2"/>
  <c r="F54" i="2"/>
  <c r="E54" i="2"/>
  <c r="J53" i="2"/>
  <c r="H53" i="2"/>
  <c r="F53" i="2"/>
  <c r="I53" i="2" s="1"/>
  <c r="E53" i="2"/>
  <c r="J52" i="2"/>
  <c r="I52" i="2"/>
  <c r="H52" i="2"/>
  <c r="F52" i="2"/>
  <c r="E22" i="3" s="1"/>
  <c r="F22" i="3" s="1"/>
  <c r="G22" i="3" s="1"/>
  <c r="E52" i="2"/>
  <c r="J51" i="2"/>
  <c r="H51" i="2"/>
  <c r="E51" i="2"/>
  <c r="F51" i="2" s="1"/>
  <c r="J50" i="2"/>
  <c r="I50" i="2"/>
  <c r="H50" i="2"/>
  <c r="E50" i="2"/>
  <c r="F50" i="2" s="1"/>
  <c r="J49" i="2"/>
  <c r="I49" i="2"/>
  <c r="H49" i="2"/>
  <c r="E49" i="2"/>
  <c r="F49" i="2" s="1"/>
  <c r="E40" i="3" s="1"/>
  <c r="J48" i="2"/>
  <c r="H48" i="2"/>
  <c r="E48" i="2"/>
  <c r="F48" i="2" s="1"/>
  <c r="I48" i="2" s="1"/>
  <c r="J47" i="2"/>
  <c r="H47" i="2"/>
  <c r="E47" i="2"/>
  <c r="F47" i="2" s="1"/>
  <c r="J46" i="2"/>
  <c r="I46" i="2"/>
  <c r="H46" i="2"/>
  <c r="E46" i="2"/>
  <c r="F46" i="2" s="1"/>
  <c r="J45" i="2"/>
  <c r="H45" i="2"/>
  <c r="E45" i="2"/>
  <c r="F45" i="2" s="1"/>
  <c r="J44" i="2"/>
  <c r="I44" i="2"/>
  <c r="H44" i="2"/>
  <c r="F44" i="2"/>
  <c r="E44" i="2"/>
  <c r="J43" i="2"/>
  <c r="I43" i="2"/>
  <c r="H43" i="2"/>
  <c r="F43" i="2"/>
  <c r="E43" i="2"/>
  <c r="J42" i="2"/>
  <c r="I42" i="2"/>
  <c r="H42" i="2"/>
  <c r="F42" i="2"/>
  <c r="E23" i="3" s="1"/>
  <c r="E42" i="2"/>
  <c r="J41" i="2"/>
  <c r="I41" i="2"/>
  <c r="H41" i="2"/>
  <c r="F41" i="2"/>
  <c r="E41" i="2"/>
  <c r="J40" i="2"/>
  <c r="I40" i="2"/>
  <c r="H40" i="2"/>
  <c r="F40" i="2"/>
  <c r="E40" i="2"/>
  <c r="J39" i="2"/>
  <c r="H39" i="2"/>
  <c r="E39" i="2"/>
  <c r="F39" i="2" s="1"/>
  <c r="I39" i="2" s="1"/>
  <c r="J38" i="2"/>
  <c r="I38" i="2"/>
  <c r="H38" i="2"/>
  <c r="E38" i="2"/>
  <c r="F38" i="2" s="1"/>
  <c r="J37" i="2"/>
  <c r="H37" i="2"/>
  <c r="E37" i="2"/>
  <c r="F37" i="2" s="1"/>
  <c r="I37" i="2" s="1"/>
  <c r="J36" i="2"/>
  <c r="I36" i="2"/>
  <c r="H36" i="2"/>
  <c r="E36" i="2"/>
  <c r="F36" i="2" s="1"/>
  <c r="J35" i="2"/>
  <c r="H35" i="2"/>
  <c r="E35" i="2"/>
  <c r="F35" i="2" s="1"/>
  <c r="J34" i="2"/>
  <c r="I34" i="2"/>
  <c r="H34" i="2"/>
  <c r="E34" i="2"/>
  <c r="F34" i="2" s="1"/>
  <c r="J33" i="2"/>
  <c r="I33" i="2"/>
  <c r="H33" i="2"/>
  <c r="E33" i="2"/>
  <c r="F33" i="2" s="1"/>
  <c r="J32" i="2"/>
  <c r="H32" i="2"/>
  <c r="F32" i="2"/>
  <c r="E32" i="3" s="1"/>
  <c r="F32" i="3" s="1"/>
  <c r="G32" i="3" s="1"/>
  <c r="E32" i="2"/>
  <c r="J31" i="2"/>
  <c r="I31" i="2"/>
  <c r="H31" i="2"/>
  <c r="F31" i="2"/>
  <c r="E31" i="2"/>
  <c r="J30" i="2"/>
  <c r="I30" i="2"/>
  <c r="H30" i="2"/>
  <c r="F30" i="2"/>
  <c r="E30" i="2"/>
  <c r="J29" i="2"/>
  <c r="H29" i="2"/>
  <c r="F29" i="2"/>
  <c r="I29" i="2" s="1"/>
  <c r="E29" i="2"/>
  <c r="J28" i="2"/>
  <c r="I28" i="2"/>
  <c r="H28" i="2"/>
  <c r="F28" i="2"/>
  <c r="E20" i="3" s="1"/>
  <c r="E28" i="2"/>
  <c r="J27" i="2"/>
  <c r="I27" i="2"/>
  <c r="H27" i="2"/>
  <c r="E27" i="2"/>
  <c r="F27" i="2" s="1"/>
  <c r="J26" i="2"/>
  <c r="I26" i="2"/>
  <c r="H26" i="2"/>
  <c r="E26" i="2"/>
  <c r="F26" i="2" s="1"/>
  <c r="J25" i="2"/>
  <c r="I25" i="2"/>
  <c r="H25" i="2"/>
  <c r="E25" i="2"/>
  <c r="F25" i="2" s="1"/>
  <c r="E35" i="3" s="1"/>
  <c r="J24" i="2"/>
  <c r="H24" i="2"/>
  <c r="E24" i="2"/>
  <c r="F24" i="2" s="1"/>
  <c r="I24" i="2" s="1"/>
  <c r="J23" i="2"/>
  <c r="I23" i="2"/>
  <c r="H23" i="2"/>
  <c r="E23" i="2"/>
  <c r="F23" i="2" s="1"/>
  <c r="E31" i="3" s="1"/>
  <c r="J22" i="2"/>
  <c r="I22" i="2"/>
  <c r="H22" i="2"/>
  <c r="E22" i="2"/>
  <c r="F22" i="2" s="1"/>
  <c r="J21" i="2"/>
  <c r="I21" i="2"/>
  <c r="H21" i="2"/>
  <c r="E21" i="2"/>
  <c r="F21" i="2" s="1"/>
  <c r="E29" i="3" s="1"/>
  <c r="J20" i="2"/>
  <c r="I20" i="2"/>
  <c r="H20" i="2"/>
  <c r="F20" i="2"/>
  <c r="E14" i="3" s="1"/>
  <c r="E20" i="2"/>
  <c r="J19" i="2"/>
  <c r="I19" i="2"/>
  <c r="H19" i="2"/>
  <c r="F19" i="2"/>
  <c r="E12" i="3" s="1"/>
  <c r="F12" i="3" s="1"/>
  <c r="G12" i="3" s="1"/>
  <c r="E19" i="2"/>
  <c r="J18" i="2"/>
  <c r="I18" i="2"/>
  <c r="H18" i="2"/>
  <c r="F18" i="2"/>
  <c r="E18" i="2"/>
  <c r="J17" i="2"/>
  <c r="H17" i="2"/>
  <c r="F17" i="2"/>
  <c r="E10" i="3" s="1"/>
  <c r="E17" i="2"/>
  <c r="J16" i="2"/>
  <c r="I16" i="2"/>
  <c r="H16" i="2"/>
  <c r="F16" i="2"/>
  <c r="E2" i="3" s="1"/>
  <c r="E16" i="2"/>
  <c r="J15" i="2"/>
  <c r="H15" i="2"/>
  <c r="E15" i="2"/>
  <c r="F15" i="2" s="1"/>
  <c r="I15" i="2" s="1"/>
  <c r="J14" i="2"/>
  <c r="H14" i="2"/>
  <c r="E14" i="2"/>
  <c r="F14" i="2" s="1"/>
  <c r="I14" i="2" s="1"/>
  <c r="J13" i="2"/>
  <c r="I13" i="2"/>
  <c r="H13" i="2"/>
  <c r="E13" i="2"/>
  <c r="F13" i="2" s="1"/>
  <c r="J12" i="2"/>
  <c r="H12" i="2"/>
  <c r="E12" i="2"/>
  <c r="F12" i="2" s="1"/>
  <c r="J11" i="2"/>
  <c r="H11" i="2"/>
  <c r="E11" i="2"/>
  <c r="F11" i="2" s="1"/>
  <c r="J10" i="2"/>
  <c r="I10" i="2"/>
  <c r="H10" i="2"/>
  <c r="E10" i="2"/>
  <c r="F10" i="2" s="1"/>
  <c r="J9" i="2"/>
  <c r="I9" i="2"/>
  <c r="H9" i="2"/>
  <c r="E9" i="2"/>
  <c r="F9" i="2" s="1"/>
  <c r="J8" i="2"/>
  <c r="I8" i="2"/>
  <c r="H8" i="2"/>
  <c r="F8" i="2"/>
  <c r="E8" i="2"/>
  <c r="J7" i="2"/>
  <c r="I7" i="2"/>
  <c r="H7" i="2"/>
  <c r="F7" i="2"/>
  <c r="E4" i="3" s="1"/>
  <c r="E7" i="2"/>
  <c r="J6" i="2"/>
  <c r="I6" i="2"/>
  <c r="H6" i="2"/>
  <c r="F6" i="2"/>
  <c r="E6" i="2"/>
  <c r="J5" i="2"/>
  <c r="I5" i="2"/>
  <c r="H5" i="2"/>
  <c r="F5" i="2"/>
  <c r="E5" i="2"/>
  <c r="J4" i="2"/>
  <c r="H4" i="2"/>
  <c r="F4" i="2"/>
  <c r="I4" i="2" s="1"/>
  <c r="E4" i="2"/>
  <c r="J3" i="2"/>
  <c r="H3" i="2"/>
  <c r="E3" i="2"/>
  <c r="F3" i="2" s="1"/>
  <c r="I3" i="2" s="1"/>
  <c r="J2" i="2"/>
  <c r="H2" i="2"/>
  <c r="E2" i="2"/>
  <c r="F2" i="2" s="1"/>
  <c r="B48" i="6"/>
  <c r="B47" i="6"/>
  <c r="I11" i="2" l="1"/>
  <c r="E24" i="3"/>
  <c r="D28" i="3"/>
  <c r="F28" i="3" s="1"/>
  <c r="G28" i="3" s="1"/>
  <c r="D29" i="3"/>
  <c r="F29" i="3" s="1"/>
  <c r="G29" i="3" s="1"/>
  <c r="I51" i="2"/>
  <c r="E34" i="3"/>
  <c r="F6" i="3"/>
  <c r="G6" i="3" s="1"/>
  <c r="D6" i="3"/>
  <c r="I35" i="2"/>
  <c r="E38" i="3"/>
  <c r="D9" i="3"/>
  <c r="F9" i="3" s="1"/>
  <c r="G9" i="3" s="1"/>
  <c r="D31" i="3"/>
  <c r="F31" i="3" s="1"/>
  <c r="G31" i="3" s="1"/>
  <c r="D2" i="3"/>
  <c r="D3" i="3"/>
  <c r="D9" i="5" s="1"/>
  <c r="E21" i="3"/>
  <c r="I86" i="2"/>
  <c r="F4" i="3"/>
  <c r="G4" i="3" s="1"/>
  <c r="D4" i="3"/>
  <c r="D35" i="3"/>
  <c r="F35" i="3" s="1"/>
  <c r="G35" i="3" s="1"/>
  <c r="F26" i="3"/>
  <c r="G26" i="3" s="1"/>
  <c r="D26" i="3"/>
  <c r="D40" i="3"/>
  <c r="F40" i="3" s="1"/>
  <c r="G40" i="3" s="1"/>
  <c r="E39" i="3"/>
  <c r="F39" i="3" s="1"/>
  <c r="G39" i="3" s="1"/>
  <c r="B3" i="6"/>
  <c r="I2" i="2"/>
  <c r="D10" i="3"/>
  <c r="F10" i="3"/>
  <c r="G10" i="3" s="1"/>
  <c r="D19" i="3"/>
  <c r="F19" i="3" s="1"/>
  <c r="G19" i="3" s="1"/>
  <c r="D14" i="3"/>
  <c r="F14" i="3" s="1"/>
  <c r="G14" i="3" s="1"/>
  <c r="D18" i="3"/>
  <c r="F18" i="3" s="1"/>
  <c r="G18" i="3" s="1"/>
  <c r="I12" i="2"/>
  <c r="E30" i="3"/>
  <c r="I47" i="2"/>
  <c r="E13" i="3"/>
  <c r="D23" i="3"/>
  <c r="F23" i="3"/>
  <c r="G23" i="3" s="1"/>
  <c r="D20" i="3"/>
  <c r="F20" i="3"/>
  <c r="G20" i="3" s="1"/>
  <c r="E16" i="3"/>
  <c r="I45" i="2"/>
  <c r="D7" i="3"/>
  <c r="F7" i="3"/>
  <c r="G7" i="3" s="1"/>
  <c r="I84" i="2"/>
  <c r="E33" i="3"/>
  <c r="F36" i="3"/>
  <c r="G36" i="3" s="1"/>
  <c r="I17" i="2"/>
  <c r="E5" i="3"/>
  <c r="F5" i="3" s="1"/>
  <c r="G5" i="3" s="1"/>
  <c r="D15" i="3"/>
  <c r="F15" i="3" s="1"/>
  <c r="G15" i="3" s="1"/>
  <c r="E41" i="3"/>
  <c r="I32" i="2"/>
  <c r="E9" i="5" l="1"/>
  <c r="F9" i="5"/>
  <c r="D13" i="5"/>
  <c r="D28" i="5"/>
  <c r="D20" i="5"/>
  <c r="D14" i="5"/>
  <c r="D8" i="5"/>
  <c r="D34" i="3"/>
  <c r="F34" i="3" s="1"/>
  <c r="G34" i="3" s="1"/>
  <c r="D35" i="5"/>
  <c r="D31" i="5"/>
  <c r="D13" i="3"/>
  <c r="F2" i="3"/>
  <c r="G2" i="3" s="1"/>
  <c r="D16" i="3"/>
  <c r="D11" i="5" s="1"/>
  <c r="D41" i="3"/>
  <c r="F41" i="3" s="1"/>
  <c r="G41" i="3" s="1"/>
  <c r="F38" i="3"/>
  <c r="G38" i="3" s="1"/>
  <c r="D38" i="3"/>
  <c r="B7" i="6"/>
  <c r="F3" i="3"/>
  <c r="G3" i="3" s="1"/>
  <c r="D21" i="3"/>
  <c r="F21" i="3" s="1"/>
  <c r="G21" i="3" s="1"/>
  <c r="D21" i="5"/>
  <c r="D46" i="5"/>
  <c r="D30" i="3"/>
  <c r="F30" i="3" s="1"/>
  <c r="G30" i="3" s="1"/>
  <c r="D24" i="3"/>
  <c r="F24" i="3" s="1"/>
  <c r="G24" i="3" s="1"/>
  <c r="D33" i="3"/>
  <c r="D26" i="5" s="1"/>
  <c r="F33" i="3"/>
  <c r="G33" i="3" s="1"/>
  <c r="E11" i="5" l="1"/>
  <c r="F11" i="5"/>
  <c r="F26" i="5"/>
  <c r="E26" i="5"/>
  <c r="E21" i="5"/>
  <c r="F21" i="5"/>
  <c r="E31" i="5"/>
  <c r="F31" i="5"/>
  <c r="B6" i="6"/>
  <c r="F46" i="5"/>
  <c r="E46" i="5"/>
  <c r="E35" i="5"/>
  <c r="F35" i="5"/>
  <c r="D3" i="5"/>
  <c r="D7" i="5"/>
  <c r="E7" i="5" s="1"/>
  <c r="D33" i="5"/>
  <c r="F16" i="3"/>
  <c r="G16" i="3" s="1"/>
  <c r="D15" i="5"/>
  <c r="D18" i="5"/>
  <c r="D23" i="5"/>
  <c r="D6" i="5"/>
  <c r="E6" i="5" s="1"/>
  <c r="D45" i="5"/>
  <c r="F14" i="5"/>
  <c r="E14" i="5"/>
  <c r="F28" i="5"/>
  <c r="E28" i="5"/>
  <c r="D43" i="5"/>
  <c r="D29" i="5"/>
  <c r="D32" i="5"/>
  <c r="D40" i="5"/>
  <c r="D24" i="5"/>
  <c r="E13" i="5"/>
  <c r="F13" i="5"/>
  <c r="B4" i="6"/>
  <c r="D19" i="5"/>
  <c r="F8" i="5"/>
  <c r="E8" i="5"/>
  <c r="F20" i="5"/>
  <c r="E20" i="5"/>
  <c r="D39" i="5"/>
  <c r="D30" i="5"/>
  <c r="D42" i="5"/>
  <c r="D36" i="5"/>
  <c r="D44" i="5"/>
  <c r="D27" i="5"/>
  <c r="D2" i="5"/>
  <c r="E2" i="5" s="1"/>
  <c r="D25" i="5"/>
  <c r="D4" i="5"/>
  <c r="E4" i="5" s="1"/>
  <c r="D41" i="5"/>
  <c r="D37" i="5"/>
  <c r="D38" i="5"/>
  <c r="D5" i="5"/>
  <c r="D34" i="5"/>
  <c r="D22" i="5"/>
  <c r="D16" i="5"/>
  <c r="D17" i="5"/>
  <c r="D12" i="5"/>
  <c r="F13" i="3"/>
  <c r="G13" i="3" s="1"/>
  <c r="D10" i="5"/>
  <c r="F36" i="5" l="1"/>
  <c r="E36" i="5"/>
  <c r="E19" i="5"/>
  <c r="F19" i="5"/>
  <c r="F10" i="5"/>
  <c r="E10" i="5"/>
  <c r="E45" i="5"/>
  <c r="F45" i="5"/>
  <c r="F34" i="5"/>
  <c r="E34" i="5"/>
  <c r="F44" i="5"/>
  <c r="E44" i="5"/>
  <c r="F16" i="5"/>
  <c r="E16" i="5"/>
  <c r="F24" i="5"/>
  <c r="E24" i="5"/>
  <c r="F22" i="5"/>
  <c r="E22" i="5"/>
  <c r="F40" i="5"/>
  <c r="E40" i="5"/>
  <c r="F32" i="5"/>
  <c r="E32" i="5"/>
  <c r="E5" i="5"/>
  <c r="F5" i="5"/>
  <c r="F38" i="5"/>
  <c r="E38" i="5"/>
  <c r="E43" i="5"/>
  <c r="F43" i="5"/>
  <c r="F12" i="5"/>
  <c r="E12" i="5"/>
  <c r="E27" i="5"/>
  <c r="F27" i="5"/>
  <c r="E17" i="5"/>
  <c r="F17" i="5"/>
  <c r="F18" i="5"/>
  <c r="E18" i="5"/>
  <c r="E15" i="5"/>
  <c r="F15" i="5"/>
  <c r="E29" i="5"/>
  <c r="F29" i="5"/>
  <c r="E3" i="5"/>
  <c r="F3" i="5"/>
  <c r="E25" i="5"/>
  <c r="F25" i="5"/>
  <c r="E23" i="5"/>
  <c r="F23" i="5"/>
  <c r="F42" i="5"/>
  <c r="E42" i="5"/>
  <c r="F30" i="5"/>
  <c r="E30" i="5"/>
  <c r="E39" i="5"/>
  <c r="F39" i="5"/>
  <c r="E33" i="5"/>
  <c r="F33" i="5"/>
  <c r="E37" i="5"/>
  <c r="F37" i="5"/>
  <c r="E41" i="5"/>
  <c r="F41" i="5"/>
</calcChain>
</file>

<file path=xl/sharedStrings.xml><?xml version="1.0" encoding="utf-8"?>
<sst xmlns="http://schemas.openxmlformats.org/spreadsheetml/2006/main" count="483" uniqueCount="204">
  <si>
    <t>Proveedor</t>
  </si>
  <si>
    <t>RUC</t>
  </si>
  <si>
    <t>%Detracción</t>
  </si>
  <si>
    <t>DíasPago</t>
  </si>
  <si>
    <t>Servicios Integrales Andinos SAC</t>
  </si>
  <si>
    <t>20123456789</t>
  </si>
  <si>
    <t>Logística Sur SAC</t>
  </si>
  <si>
    <t>20456789123</t>
  </si>
  <si>
    <t>Suministros Empresariales SAC</t>
  </si>
  <si>
    <t>20567891234</t>
  </si>
  <si>
    <t>Consultoría Delta SRL</t>
  </si>
  <si>
    <t>20345678912</t>
  </si>
  <si>
    <t>Mantenimiento Técnico Perú SAC</t>
  </si>
  <si>
    <t>20678912345</t>
  </si>
  <si>
    <t>Distribuidora Alfa SAC</t>
  </si>
  <si>
    <t>20198765432</t>
  </si>
  <si>
    <t>Servicios Generales Beta SAC</t>
  </si>
  <si>
    <t>20432198765</t>
  </si>
  <si>
    <t>Transportes Lima Express SAC</t>
  </si>
  <si>
    <t>20543219876</t>
  </si>
  <si>
    <t>Soluciones Informáticas SAC</t>
  </si>
  <si>
    <t>20321987654</t>
  </si>
  <si>
    <t>Seguridad Integral Omega SAC</t>
  </si>
  <si>
    <t>20654321987</t>
  </si>
  <si>
    <t>FechaEmisión</t>
  </si>
  <si>
    <t>NumFactura</t>
  </si>
  <si>
    <t>Base</t>
  </si>
  <si>
    <t>IGV</t>
  </si>
  <si>
    <t>Total</t>
  </si>
  <si>
    <t>¿Detracción?</t>
  </si>
  <si>
    <t>MontoDetracción</t>
  </si>
  <si>
    <t>FechaVencimiento</t>
  </si>
  <si>
    <t>F01-000001</t>
  </si>
  <si>
    <t>SI</t>
  </si>
  <si>
    <t>F03-000002</t>
  </si>
  <si>
    <t>F01-000003</t>
  </si>
  <si>
    <t>F01-000004</t>
  </si>
  <si>
    <t>NO</t>
  </si>
  <si>
    <t>F02-000005</t>
  </si>
  <si>
    <t>F01-000006</t>
  </si>
  <si>
    <t>F02-000007</t>
  </si>
  <si>
    <t>F01-000008</t>
  </si>
  <si>
    <t>F02-000009</t>
  </si>
  <si>
    <t>F03-000010</t>
  </si>
  <si>
    <t>F03-000011</t>
  </si>
  <si>
    <t>F03-000012</t>
  </si>
  <si>
    <t>F03-000013</t>
  </si>
  <si>
    <t>F01-000014</t>
  </si>
  <si>
    <t>F01-000015</t>
  </si>
  <si>
    <t>F03-000016</t>
  </si>
  <si>
    <t>F03-000017</t>
  </si>
  <si>
    <t>F02-000018</t>
  </si>
  <si>
    <t>F01-000019</t>
  </si>
  <si>
    <t>F01-000020</t>
  </si>
  <si>
    <t>F01-000021</t>
  </si>
  <si>
    <t>F01-000022</t>
  </si>
  <si>
    <t>F01-000023</t>
  </si>
  <si>
    <t>F02-000024</t>
  </si>
  <si>
    <t>F02-000025</t>
  </si>
  <si>
    <t>F02-000026</t>
  </si>
  <si>
    <t>F01-000027</t>
  </si>
  <si>
    <t>F01-000028</t>
  </si>
  <si>
    <t>F02-000029</t>
  </si>
  <si>
    <t>F03-000030</t>
  </si>
  <si>
    <t>F03-000031</t>
  </si>
  <si>
    <t>F01-000032</t>
  </si>
  <si>
    <t>F01-000033</t>
  </si>
  <si>
    <t>F03-000034</t>
  </si>
  <si>
    <t>F03-000035</t>
  </si>
  <si>
    <t>F03-000036</t>
  </si>
  <si>
    <t>F01-000037</t>
  </si>
  <si>
    <t>F03-000038</t>
  </si>
  <si>
    <t>F01-000039</t>
  </si>
  <si>
    <t>F01-000040</t>
  </si>
  <si>
    <t>F02-000041</t>
  </si>
  <si>
    <t>F03-000042</t>
  </si>
  <si>
    <t>F02-000043</t>
  </si>
  <si>
    <t>F01-000044</t>
  </si>
  <si>
    <t>F01-000045</t>
  </si>
  <si>
    <t>F03-000046</t>
  </si>
  <si>
    <t>F02-000047</t>
  </si>
  <si>
    <t>F01-000048</t>
  </si>
  <si>
    <t>F03-000049</t>
  </si>
  <si>
    <t>F01-000050</t>
  </si>
  <si>
    <t>F02-000051</t>
  </si>
  <si>
    <t>F01-000052</t>
  </si>
  <si>
    <t>F01-000053</t>
  </si>
  <si>
    <t>F01-000054</t>
  </si>
  <si>
    <t>F03-000055</t>
  </si>
  <si>
    <t>F01-000056</t>
  </si>
  <si>
    <t>F02-000057</t>
  </si>
  <si>
    <t>F01-000058</t>
  </si>
  <si>
    <t>F02-000059</t>
  </si>
  <si>
    <t>F03-000060</t>
  </si>
  <si>
    <t>F02-000061</t>
  </si>
  <si>
    <t>F01-000062</t>
  </si>
  <si>
    <t>F03-000063</t>
  </si>
  <si>
    <t>F01-000064</t>
  </si>
  <si>
    <t>F01-000065</t>
  </si>
  <si>
    <t>F02-000066</t>
  </si>
  <si>
    <t>F03-000067</t>
  </si>
  <si>
    <t>F03-000068</t>
  </si>
  <si>
    <t>F01-000069</t>
  </si>
  <si>
    <t>F02-000070</t>
  </si>
  <si>
    <t>F02-000071</t>
  </si>
  <si>
    <t>F03-000072</t>
  </si>
  <si>
    <t>F01-000073</t>
  </si>
  <si>
    <t>F03-000074</t>
  </si>
  <si>
    <t>F01-000075</t>
  </si>
  <si>
    <t>F03-000076</t>
  </si>
  <si>
    <t>F01-000077</t>
  </si>
  <si>
    <t>F01-000078</t>
  </si>
  <si>
    <t>F03-000079</t>
  </si>
  <si>
    <t>F01-000080</t>
  </si>
  <si>
    <t>F02-000081</t>
  </si>
  <si>
    <t>F03-000082</t>
  </si>
  <si>
    <t>F03-000083</t>
  </si>
  <si>
    <t>F03-000084</t>
  </si>
  <si>
    <t>F03-000085</t>
  </si>
  <si>
    <t>F01-000086</t>
  </si>
  <si>
    <t>F03-000087</t>
  </si>
  <si>
    <t>F03-000088</t>
  </si>
  <si>
    <t>F01-000089</t>
  </si>
  <si>
    <t>F03-000090</t>
  </si>
  <si>
    <t>FechaPago</t>
  </si>
  <si>
    <t>MedioPago</t>
  </si>
  <si>
    <t>MontoPagado</t>
  </si>
  <si>
    <t>TotalFactura</t>
  </si>
  <si>
    <t>Saldo</t>
  </si>
  <si>
    <t>EstadoPago</t>
  </si>
  <si>
    <t>Efectivo</t>
  </si>
  <si>
    <t>Depósito</t>
  </si>
  <si>
    <t>Transferencia</t>
  </si>
  <si>
    <t>Fecha</t>
  </si>
  <si>
    <t>Descripción</t>
  </si>
  <si>
    <t>Cargo</t>
  </si>
  <si>
    <t>Abono</t>
  </si>
  <si>
    <t>Comisión bancaria</t>
  </si>
  <si>
    <t>Pago proveedor (F03-000046)</t>
  </si>
  <si>
    <t>Pago proveedor (F03-000016)</t>
  </si>
  <si>
    <t>Pago proveedor (F03-000067)</t>
  </si>
  <si>
    <t>Pago proveedor (F01-000069)</t>
  </si>
  <si>
    <t>Pago proveedor (F03-000055)</t>
  </si>
  <si>
    <t>Pago proveedor (F03-000034)</t>
  </si>
  <si>
    <t>Pago proveedor (F01-000027)</t>
  </si>
  <si>
    <t>Pago proveedor (F02-000018)</t>
  </si>
  <si>
    <t>Pago proveedor (F03-000087)</t>
  </si>
  <si>
    <t>Pago proveedor sin referencia</t>
  </si>
  <si>
    <t>Pago proveedor (F01-000006)</t>
  </si>
  <si>
    <t>Pago proveedor (F01-000064)</t>
  </si>
  <si>
    <t>Pago proveedor (F01-000048)</t>
  </si>
  <si>
    <t>Pago proveedor (F01-000054)</t>
  </si>
  <si>
    <t>Pago proveedor (F02-000051)</t>
  </si>
  <si>
    <t>Pago proveedor (F01-000077)</t>
  </si>
  <si>
    <t>Pago proveedor (F01-000020)</t>
  </si>
  <si>
    <t>Pago proveedor (F01-000019)</t>
  </si>
  <si>
    <t>Pago proveedor (F03-000085)</t>
  </si>
  <si>
    <t>Pago proveedor (F03-000011)</t>
  </si>
  <si>
    <t>Pago proveedor (F02-000024)</t>
  </si>
  <si>
    <t>Pago proveedor (F01-000044)</t>
  </si>
  <si>
    <t>Pago proveedor (F03-000088)</t>
  </si>
  <si>
    <t>Pago proveedor (F03-000060)</t>
  </si>
  <si>
    <t>Pago proveedor (F01-000001)</t>
  </si>
  <si>
    <t>Pago proveedor (F03-000076)</t>
  </si>
  <si>
    <t>Pago proveedor (F01-000022)</t>
  </si>
  <si>
    <t>Pago proveedor (F03-000068)</t>
  </si>
  <si>
    <t>Pago proveedor (F03-000074)</t>
  </si>
  <si>
    <t>Pago proveedor (F03-000031)</t>
  </si>
  <si>
    <t>Pago proveedor (F01-000050)</t>
  </si>
  <si>
    <t>Pago proveedor (F01-000062)</t>
  </si>
  <si>
    <t>Pago proveedor (F03-000083)</t>
  </si>
  <si>
    <t>Pago proveedor (F03-000042)</t>
  </si>
  <si>
    <t>Pago proveedor (F03-000010)</t>
  </si>
  <si>
    <t>Pago proveedor (F01-000058)</t>
  </si>
  <si>
    <t>Pago proveedor (F03-000084)</t>
  </si>
  <si>
    <t>Pago proveedor (F01-000015)</t>
  </si>
  <si>
    <t>Pago proveedor (F01-000080)</t>
  </si>
  <si>
    <t>Pago proveedor (F02-000041)</t>
  </si>
  <si>
    <t>Pago proveedor (F01-000075)</t>
  </si>
  <si>
    <t>FechaBanco</t>
  </si>
  <si>
    <t>DescripciónBanco</t>
  </si>
  <si>
    <t>MatchPago</t>
  </si>
  <si>
    <t>Observación</t>
  </si>
  <si>
    <t>KPIs</t>
  </si>
  <si>
    <t>Total facturas (S/)</t>
  </si>
  <si>
    <t>Total cuentas por pagar (S/)</t>
  </si>
  <si>
    <t>Facturas vencidas (conteo)</t>
  </si>
  <si>
    <t>Pagos realizados (S/)</t>
  </si>
  <si>
    <t>Detracciones estimadas (S/)</t>
  </si>
  <si>
    <t>Etiquetas de fila</t>
  </si>
  <si>
    <t>Total general</t>
  </si>
  <si>
    <t>Cuenta de NumFactura</t>
  </si>
  <si>
    <t>Estado de Facturas</t>
  </si>
  <si>
    <t>Monto por proveedor</t>
  </si>
  <si>
    <t>Facturas</t>
  </si>
  <si>
    <t>Total de proveedor</t>
  </si>
  <si>
    <t>(Todas)</t>
  </si>
  <si>
    <t>2025</t>
  </si>
  <si>
    <t>2026</t>
  </si>
  <si>
    <t>Pagos</t>
  </si>
  <si>
    <t>Concepto</t>
  </si>
  <si>
    <t>Monto</t>
  </si>
  <si>
    <t>Facturado</t>
  </si>
  <si>
    <t>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</si>
</sst>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S/&quot;\ * #,##0.00_-;\-&quot;S/&quot;\ * #,##0.00_-;_-&quot;S/&quot;\ * &quot;-&quot;??_-;_-@_-"/>
    <numFmt numFmtId="164" formatCode="yyyy\-mm\-dd"/>
    <numFmt numFmtId="165" formatCode="&quot;S/ &quot;\ #,##0.00"/>
    <numFmt numFmtId="166" formatCode="&quot;S/&quot;\ #,##0"/>
    <numFmt numFmtId="167" formatCode="_-&quot;S/&quot;\ * #,##0_-;\-&quot;S/&quot;\ * #,##0_-;_-&quot;S/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left"/>
    </xf>
    <xf numFmtId="165" fontId="0" fillId="0" borderId="0" xfId="0" applyNumberFormat="1"/>
    <xf numFmtId="1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0" fillId="0" borderId="0" xfId="0" applyNumberFormat="1"/>
    <xf numFmtId="167" fontId="0" fillId="0" borderId="0" xfId="1" applyNumberFormat="1" applyFont="1" applyAlignment="1">
      <alignment vertical="center" wrapText="1"/>
    </xf>
  </cellXfs>
  <cellStyles count="2">
    <cellStyle name="Moneda" xfId="1" builtinId="4"/>
    <cellStyle name="Normal" xfId="0" builtinId="0"/>
  </cellStyles>
  <dxfs count="13">
    <dxf>
      <fill>
        <patternFill patternType="solid">
          <fgColor rgb="FFFFC7CE"/>
        </patternFill>
      </fill>
    </dxf>
    <dxf>
      <numFmt numFmtId="167" formatCode="_-&quot;S/&quot;\ * #,##0_-;\-&quot;S/&quot;\ * #,##0_-;_-&quot;S/&quot;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S/&quot;\ * #,##0.00_-;\-&quot;S/&quot;\ * #,##0.00_-;_-&quot;S/&quot;\ * &quot;-&quot;??_-;_-@_-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numFmt numFmtId="166" formatCode="&quot;S/&quot;\ #,##0"/>
    </dxf>
    <dxf>
      <numFmt numFmtId="19" formatCode="d/mm/yyyy"/>
    </dxf>
  </dxfs>
  <tableStyles count="0" defaultTableStyle="TableStyleMedium9" defaultPivotStyle="PivotStyleLight16"/>
  <colors>
    <mruColors>
      <color rgb="FF35FF0D"/>
      <color rgb="FF10FC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[Proyecto_CxP_Conciliacion_Excel.xlsx]Reportes!TablaDinámica2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Reportes!$B$19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Reportes!$A$20:$A$30</c:f>
              <c:strCache>
                <c:ptCount val="10"/>
                <c:pt idx="0">
                  <c:v>Soluciones Informáticas SAC</c:v>
                </c:pt>
                <c:pt idx="1">
                  <c:v>Servicios Integrales Andinos SAC</c:v>
                </c:pt>
                <c:pt idx="2">
                  <c:v>Logística Sur SAC</c:v>
                </c:pt>
                <c:pt idx="3">
                  <c:v>Suministros Empresariales SAC</c:v>
                </c:pt>
                <c:pt idx="4">
                  <c:v>Seguridad Integral Omega SAC</c:v>
                </c:pt>
                <c:pt idx="5">
                  <c:v>Distribuidora Alfa SAC</c:v>
                </c:pt>
                <c:pt idx="6">
                  <c:v>Mantenimiento Técnico Perú SAC</c:v>
                </c:pt>
                <c:pt idx="7">
                  <c:v>Transportes Lima Express SAC</c:v>
                </c:pt>
                <c:pt idx="8">
                  <c:v>Servicios Generales Beta SAC</c:v>
                </c:pt>
                <c:pt idx="9">
                  <c:v>Consultoría Delta SRL</c:v>
                </c:pt>
              </c:strCache>
            </c:strRef>
          </c:cat>
          <c:val>
            <c:numRef>
              <c:f>Reportes!$B$20:$B$30</c:f>
              <c:numCache>
                <c:formatCode>_("S/"* #,##0.00_);_("S/"* \(#,##0.00\);_("S/"* "-"??_);_(@_)</c:formatCode>
                <c:ptCount val="10"/>
                <c:pt idx="0">
                  <c:v>31720.004800000002</c:v>
                </c:pt>
                <c:pt idx="1">
                  <c:v>30535.390999999992</c:v>
                </c:pt>
                <c:pt idx="2">
                  <c:v>27356.884000000002</c:v>
                </c:pt>
                <c:pt idx="3">
                  <c:v>25449.921399999999</c:v>
                </c:pt>
                <c:pt idx="4">
                  <c:v>20209.2346</c:v>
                </c:pt>
                <c:pt idx="5">
                  <c:v>20047.079000000002</c:v>
                </c:pt>
                <c:pt idx="6">
                  <c:v>18339.2768</c:v>
                </c:pt>
                <c:pt idx="7">
                  <c:v>12508.932199999999</c:v>
                </c:pt>
                <c:pt idx="8">
                  <c:v>11027.914199999999</c:v>
                </c:pt>
                <c:pt idx="9">
                  <c:v>6328.0804000000007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3-4C6E-811D-0E1059FC2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7727456"/>
        <c:axId val="1397728416"/>
      </c:barChart>
      <c:catAx>
        <c:axId val="139772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7728416"/>
        <c:crosses val="autoZero"/>
        <c:auto val="1"/>
        <c:lblAlgn val="ctr"/>
        <c:lblOffset val="100"/>
        <c:noMultiLvlLbl val="0"/>
      </c:catAx>
      <c:valAx>
        <c:axId val="139772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S/&quot;* #,##0.00_);_(&quot;S/&quot;* \(#,##0.00\);_(&quot;S/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77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[Proyecto_CxP_Conciliacion_Excel.xlsx]Reportes!TablaDinámica1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Reportes!$B$12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17-401F-B4D8-597D789053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17-401F-B4D8-597D78905346}"/>
              </c:ext>
            </c:extLst>
          </c:dPt>
          <c:cat>
            <c:strRef>
              <c:f>Reportes!$A$13:$A$15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Reportes!$B$13:$B$15</c:f>
              <c:numCache>
                <c:formatCode>General</c:formatCode>
                <c:ptCount val="2"/>
                <c:pt idx="0">
                  <c:v>56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2-4826-94F1-B91FF1D1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Reportes!$A$47:$A$48</c:f>
              <c:strCache>
                <c:ptCount val="2"/>
                <c:pt idx="0">
                  <c:v>Facturado</c:v>
                </c:pt>
                <c:pt idx="1">
                  <c:v>Pagado</c:v>
                </c:pt>
              </c:strCache>
            </c:strRef>
          </c:cat>
          <c:val>
            <c:numRef>
              <c:f>Reportes!$B$47:$B$48</c:f>
              <c:numCache>
                <c:formatCode>_-"S/"\ * #,##0_-;\-"S/"\ * #,##0_-;_-"S/"\ * "-"??_-;_-@_-</c:formatCode>
                <c:ptCount val="2"/>
                <c:pt idx="0">
                  <c:v>203522.71839999993</c:v>
                </c:pt>
                <c:pt idx="1">
                  <c:v>78587.091800000024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6-4382-B990-F1179C417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671104"/>
        <c:axId val="98681664"/>
      </c:barChart>
      <c:catAx>
        <c:axId val="986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681664"/>
        <c:crosses val="autoZero"/>
        <c:auto val="1"/>
        <c:lblAlgn val="ctr"/>
        <c:lblOffset val="100"/>
        <c:noMultiLvlLbl val="0"/>
      </c:catAx>
      <c:valAx>
        <c:axId val="986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S/&quot;\ * #,##0_-;\-&quot;S/&quot;\ * #,##0_-;_-&quot;S/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6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[Proyecto_CxP_Conciliacion_Excel.xlsx]Reportes!TablaDinámica1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latin typeface="Times New Roman" panose="02020603050405020304" pitchFamily="18" charset="0"/>
                <a:cs typeface="Times New Roman" panose="02020603050405020304" pitchFamily="18" charset="0"/>
              </a:rPr>
              <a:t>Facturas con detracción</a:t>
            </a:r>
            <a:endParaRPr lang="es-PE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Reportes!$B$12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46-4393-823B-93D9CF59DAA5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46-4393-823B-93D9CF59DAA5}"/>
              </c:ext>
            </c:extLst>
          </c:dPt>
          <c:cat>
            <c:strRef>
              <c:f>Reportes!$A$13:$A$15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Reportes!$B$13:$B$15</c:f>
              <c:numCache>
                <c:formatCode>General</c:formatCode>
                <c:ptCount val="2"/>
                <c:pt idx="0">
                  <c:v>56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46-4393-823B-93D9CF59D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[Proyecto_CxP_Conciliacion_Excel.xlsx]Reportes!TablaDinámica2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Monto adeudado por proveedor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Reportes!$B$19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Reportes!$A$20:$A$30</c:f>
              <c:strCache>
                <c:ptCount val="10"/>
                <c:pt idx="0">
                  <c:v>Soluciones Informáticas SAC</c:v>
                </c:pt>
                <c:pt idx="1">
                  <c:v>Servicios Integrales Andinos SAC</c:v>
                </c:pt>
                <c:pt idx="2">
                  <c:v>Logística Sur SAC</c:v>
                </c:pt>
                <c:pt idx="3">
                  <c:v>Suministros Empresariales SAC</c:v>
                </c:pt>
                <c:pt idx="4">
                  <c:v>Seguridad Integral Omega SAC</c:v>
                </c:pt>
                <c:pt idx="5">
                  <c:v>Distribuidora Alfa SAC</c:v>
                </c:pt>
                <c:pt idx="6">
                  <c:v>Mantenimiento Técnico Perú SAC</c:v>
                </c:pt>
                <c:pt idx="7">
                  <c:v>Transportes Lima Express SAC</c:v>
                </c:pt>
                <c:pt idx="8">
                  <c:v>Servicios Generales Beta SAC</c:v>
                </c:pt>
                <c:pt idx="9">
                  <c:v>Consultoría Delta SRL</c:v>
                </c:pt>
              </c:strCache>
            </c:strRef>
          </c:cat>
          <c:val>
            <c:numRef>
              <c:f>Reportes!$B$20:$B$30</c:f>
              <c:numCache>
                <c:formatCode>_("S/"* #,##0.00_);_("S/"* \(#,##0.00\);_("S/"* "-"??_);_(@_)</c:formatCode>
                <c:ptCount val="10"/>
                <c:pt idx="0">
                  <c:v>31720.004800000002</c:v>
                </c:pt>
                <c:pt idx="1">
                  <c:v>30535.390999999992</c:v>
                </c:pt>
                <c:pt idx="2">
                  <c:v>27356.884000000002</c:v>
                </c:pt>
                <c:pt idx="3">
                  <c:v>25449.921399999999</c:v>
                </c:pt>
                <c:pt idx="4">
                  <c:v>20209.2346</c:v>
                </c:pt>
                <c:pt idx="5">
                  <c:v>20047.079000000002</c:v>
                </c:pt>
                <c:pt idx="6">
                  <c:v>18339.2768</c:v>
                </c:pt>
                <c:pt idx="7">
                  <c:v>12508.932199999999</c:v>
                </c:pt>
                <c:pt idx="8">
                  <c:v>11027.914199999999</c:v>
                </c:pt>
                <c:pt idx="9">
                  <c:v>6328.0804000000007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6-4385-9174-52BB89344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7727456"/>
        <c:axId val="1397728416"/>
      </c:barChart>
      <c:catAx>
        <c:axId val="139772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7728416"/>
        <c:crosses val="autoZero"/>
        <c:auto val="1"/>
        <c:lblAlgn val="ctr"/>
        <c:lblOffset val="100"/>
        <c:noMultiLvlLbl val="0"/>
      </c:catAx>
      <c:valAx>
        <c:axId val="13977284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S/&quot;* #,##0.00_);_(&quot;S/&quot;* \(#,##0.00\);_(&quot;S/&quot;* &quot;-&quot;??_);_(@_)" sourceLinked="1"/>
        <c:majorTickMark val="none"/>
        <c:minorTickMark val="none"/>
        <c:tickLblPos val="nextTo"/>
        <c:crossAx val="13977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 i="0" u="none" strike="noStrike" cap="all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Avance de pagos (Facturado vs Pagado)</a:t>
            </a:r>
            <a:endParaRPr lang="es-PE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6E-4A70-B0BA-003BA9979C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6E-4A70-B0BA-003BA9979C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Reportes!$A$47:$A$48</c:f>
              <c:strCache>
                <c:ptCount val="2"/>
                <c:pt idx="0">
                  <c:v>Facturado</c:v>
                </c:pt>
                <c:pt idx="1">
                  <c:v>Pagado</c:v>
                </c:pt>
              </c:strCache>
            </c:strRef>
          </c:cat>
          <c:val>
            <c:numRef>
              <c:f>Reportes!$B$47:$B$48</c:f>
              <c:numCache>
                <c:formatCode>_-"S/"\ * #,##0_-;\-"S/"\ * #,##0_-;_-"S/"\ * "-"??_-;_-@_-</c:formatCode>
                <c:ptCount val="2"/>
                <c:pt idx="0">
                  <c:v>203522.71839999993</c:v>
                </c:pt>
                <c:pt idx="1">
                  <c:v>78587.091800000024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E-4A70-B0BA-003BA9979C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8671104"/>
        <c:axId val="98681664"/>
      </c:barChart>
      <c:catAx>
        <c:axId val="986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681664"/>
        <c:crosses val="autoZero"/>
        <c:auto val="1"/>
        <c:lblAlgn val="ctr"/>
        <c:lblOffset val="100"/>
        <c:noMultiLvlLbl val="0"/>
      </c:catAx>
      <c:valAx>
        <c:axId val="98681664"/>
        <c:scaling>
          <c:orientation val="minMax"/>
        </c:scaling>
        <c:delete val="1"/>
        <c:axPos val="l"/>
        <c:numFmt formatCode="_-&quot;S/&quot;\ * #,##0_-;\-&quot;S/&quot;\ * #,##0_-;_-&quot;S/&quot;\ * &quot;-&quot;??_-;_-@_-" sourceLinked="1"/>
        <c:majorTickMark val="none"/>
        <c:minorTickMark val="none"/>
        <c:tickLblPos val="nextTo"/>
        <c:crossAx val="986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2453640</xdr:colOff>
      <xdr:row>18</xdr:row>
      <xdr:rowOff>76200</xdr:rowOff>
    </xdr:from>
    <xdr:to>
      <xdr:col>10</xdr:col>
      <xdr:colOff>510540</xdr:colOff>
      <xdr:row>34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F53EE8-8499-2E2D-EC04-8EBD8C146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320040</xdr:colOff>
      <xdr:row>2</xdr:row>
      <xdr:rowOff>3810</xdr:rowOff>
    </xdr:from>
    <xdr:to>
      <xdr:col>11</xdr:col>
      <xdr:colOff>15240</xdr:colOff>
      <xdr:row>17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D1E6C4-99D1-CA14-D756-33E12C2BB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213360</xdr:colOff>
      <xdr:row>40</xdr:row>
      <xdr:rowOff>72390</xdr:rowOff>
    </xdr:from>
    <xdr:to>
      <xdr:col>11</xdr:col>
      <xdr:colOff>518160</xdr:colOff>
      <xdr:row>55</xdr:row>
      <xdr:rowOff>72390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C23756-1542-9515-F516-38747271A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1202267</xdr:colOff>
      <xdr:row>3</xdr:row>
      <xdr:rowOff>101600</xdr:rowOff>
    </xdr:from>
    <xdr:to>
      <xdr:col>3</xdr:col>
      <xdr:colOff>635000</xdr:colOff>
      <xdr:row>5</xdr:row>
      <xdr:rowOff>143934</xdr:rowOff>
    </xdr:to>
    <xdr:sp macro="" textlink="Reportes!B3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8474B57-6B3F-4A34-659E-F1D4230635C0}"/>
            </a:ext>
          </a:extLst>
        </xdr:cNvPr>
        <xdr:cNvSpPr/>
      </xdr:nvSpPr>
      <xdr:spPr>
        <a:xfrm>
          <a:off x="1202267" y="660400"/>
          <a:ext cx="2429933" cy="414867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5914A05-CAB7-4A1B-971A-07FD988F22C4}" type="TxLink">
            <a:rPr lang="en-US" sz="2400" b="0" i="0" u="none" strike="noStrike">
              <a:solidFill>
                <a:srgbClr val="000000"/>
              </a:solidFill>
              <a:latin typeface="Bodoni MT" panose="02070603080606020203" pitchFamily="18" charset="0"/>
              <a:ea typeface="Calibri"/>
              <a:cs typeface="Calibri"/>
            </a:rPr>
            <a:pPr algn="ctr"/>
            <a:t>S/  203,522.72</a:t>
          </a:fld>
          <a:endParaRPr lang="es-PE" sz="2400">
            <a:latin typeface="Bodoni MT" panose="02070603080606020203" pitchFamily="18" charset="0"/>
          </a:endParaRPr>
        </a:p>
      </xdr:txBody>
    </xdr:sp>
    <xdr:clientData/>
  </xdr:twoCellAnchor>
  <xdr:twoCellAnchor>
    <xdr:from>
      <xdr:col>0</xdr:col>
      <xdr:colOff>1083731</xdr:colOff>
      <xdr:row>9</xdr:row>
      <xdr:rowOff>25398</xdr:rowOff>
    </xdr:from>
    <xdr:to>
      <xdr:col>3</xdr:col>
      <xdr:colOff>558091</xdr:colOff>
      <xdr:row>11</xdr:row>
      <xdr:rowOff>86880</xdr:rowOff>
    </xdr:to>
    <xdr:sp macro="" textlink="Reportes!B6">
      <xdr:nvSpPr>
        <xdr:cNvPr id="6" name="Rectángulo: esquinas redondeadas 5">
          <a:extLst>
            <a:ext uri="{FF2B5EF4-FFF2-40B4-BE49-F238E27FC236}">
              <a16:creationId xmlns:a16="http://schemas.microsoft.com/office/drawing/2014/main" id="{B7E3DD87-4565-4B9E-964C-FB2D14BAF1D8}"/>
            </a:ext>
          </a:extLst>
        </xdr:cNvPr>
        <xdr:cNvSpPr/>
      </xdr:nvSpPr>
      <xdr:spPr>
        <a:xfrm>
          <a:off x="1083731" y="1701798"/>
          <a:ext cx="2471560" cy="43401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8AF30286-D5C8-475E-B139-6A56C469F605}" type="TxLink">
            <a:rPr lang="en-US" sz="2400" b="0" i="0" u="none" strike="noStrike">
              <a:solidFill>
                <a:srgbClr val="000000"/>
              </a:solidFill>
              <a:latin typeface="Bodoni MT" panose="02070603080606020203" pitchFamily="18" charset="0"/>
              <a:ea typeface="Calibri"/>
              <a:cs typeface="Calibri"/>
            </a:rPr>
            <a:pPr marL="0" indent="0" algn="ctr"/>
            <a:t>S/  78,587.09</a:t>
          </a:fld>
          <a:endParaRPr lang="es-PE" sz="2400" b="0" i="0" u="none" strike="noStrike">
            <a:solidFill>
              <a:srgbClr val="000000"/>
            </a:solidFill>
            <a:latin typeface="Bodoni MT" panose="02070603080606020203" pitchFamily="18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406400</xdr:colOff>
      <xdr:row>15</xdr:row>
      <xdr:rowOff>110065</xdr:rowOff>
    </xdr:from>
    <xdr:to>
      <xdr:col>3</xdr:col>
      <xdr:colOff>487115</xdr:colOff>
      <xdr:row>18</xdr:row>
      <xdr:rowOff>703</xdr:rowOff>
    </xdr:to>
    <xdr:sp macro="" textlink="Reportes!B4">
      <xdr:nvSpPr>
        <xdr:cNvPr id="7" name="Rectángulo: esquinas redondeadas 6">
          <a:extLst>
            <a:ext uri="{FF2B5EF4-FFF2-40B4-BE49-F238E27FC236}">
              <a16:creationId xmlns:a16="http://schemas.microsoft.com/office/drawing/2014/main" id="{355E1BB6-7FDF-4617-9E5B-5B382D1F301D}"/>
            </a:ext>
          </a:extLst>
        </xdr:cNvPr>
        <xdr:cNvSpPr/>
      </xdr:nvSpPr>
      <xdr:spPr>
        <a:xfrm>
          <a:off x="406400" y="2904065"/>
          <a:ext cx="3077915" cy="449438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186C351E-CFA4-453F-AF72-D9EE3A3E1E55}" type="TxLink">
            <a:rPr lang="en-US" sz="2400" b="0" i="0" u="none" strike="noStrike">
              <a:solidFill>
                <a:srgbClr val="000000"/>
              </a:solidFill>
              <a:latin typeface="Bodoni MT" panose="02070603080606020203" pitchFamily="18" charset="0"/>
              <a:ea typeface="Calibri"/>
              <a:cs typeface="Calibri"/>
            </a:rPr>
            <a:pPr marL="0" indent="0" algn="ctr"/>
            <a:t>S/  124,935.63</a:t>
          </a:fld>
          <a:endParaRPr lang="es-PE" sz="2400" b="0" i="0" u="none" strike="noStrike">
            <a:solidFill>
              <a:srgbClr val="000000"/>
            </a:solidFill>
            <a:latin typeface="Bodoni MT" panose="02070603080606020203" pitchFamily="18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609599</xdr:colOff>
      <xdr:row>21</xdr:row>
      <xdr:rowOff>169332</xdr:rowOff>
    </xdr:from>
    <xdr:to>
      <xdr:col>3</xdr:col>
      <xdr:colOff>493827</xdr:colOff>
      <xdr:row>24</xdr:row>
      <xdr:rowOff>68614</xdr:rowOff>
    </xdr:to>
    <xdr:sp macro="" textlink="Reportes!B5">
      <xdr:nvSpPr>
        <xdr:cNvPr id="8" name="Rectángulo: esquinas redondeadas 7">
          <a:extLst>
            <a:ext uri="{FF2B5EF4-FFF2-40B4-BE49-F238E27FC236}">
              <a16:creationId xmlns:a16="http://schemas.microsoft.com/office/drawing/2014/main" id="{904EBD23-E2FA-40E2-B44D-EB645C131D11}"/>
            </a:ext>
          </a:extLst>
        </xdr:cNvPr>
        <xdr:cNvSpPr/>
      </xdr:nvSpPr>
      <xdr:spPr>
        <a:xfrm>
          <a:off x="2015066" y="4080932"/>
          <a:ext cx="1475961" cy="458082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2F912CFE-F24D-40D7-A96B-C10DA42126E1}" type="TxLink">
            <a:rPr lang="en-US" sz="2400" b="0" i="0" u="none" strike="noStrike">
              <a:solidFill>
                <a:srgbClr val="000000"/>
              </a:solidFill>
              <a:latin typeface="Bodoni MT" panose="02070603080606020203" pitchFamily="18" charset="0"/>
              <a:ea typeface="Calibri"/>
              <a:cs typeface="Calibri"/>
            </a:rPr>
            <a:pPr marL="0" indent="0" algn="ctr"/>
            <a:t>42</a:t>
          </a:fld>
          <a:endParaRPr lang="es-PE" sz="2400" b="0" i="0" u="none" strike="noStrike">
            <a:solidFill>
              <a:srgbClr val="000000"/>
            </a:solidFill>
            <a:latin typeface="Bodoni MT" panose="02070603080606020203" pitchFamily="18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465667</xdr:colOff>
      <xdr:row>27</xdr:row>
      <xdr:rowOff>50799</xdr:rowOff>
    </xdr:from>
    <xdr:to>
      <xdr:col>2</xdr:col>
      <xdr:colOff>406280</xdr:colOff>
      <xdr:row>29</xdr:row>
      <xdr:rowOff>136348</xdr:rowOff>
    </xdr:to>
    <xdr:sp macro="" textlink="Reportes!B7">
      <xdr:nvSpPr>
        <xdr:cNvPr id="9" name="Rectángulo: esquinas redondeadas 8">
          <a:extLst>
            <a:ext uri="{FF2B5EF4-FFF2-40B4-BE49-F238E27FC236}">
              <a16:creationId xmlns:a16="http://schemas.microsoft.com/office/drawing/2014/main" id="{41D13B69-EAAA-4E27-A858-58605859C666}"/>
            </a:ext>
          </a:extLst>
        </xdr:cNvPr>
        <xdr:cNvSpPr/>
      </xdr:nvSpPr>
      <xdr:spPr>
        <a:xfrm>
          <a:off x="465667" y="5079999"/>
          <a:ext cx="2141946" cy="458082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7FD577DB-CCC8-4065-AEA7-3BF7602A69ED}" type="TxLink">
            <a:rPr lang="en-US" sz="2400" b="0" i="0" u="none" strike="noStrike">
              <a:solidFill>
                <a:srgbClr val="000000"/>
              </a:solidFill>
              <a:latin typeface="Bodoni MT" panose="02070603080606020203" pitchFamily="18" charset="0"/>
              <a:ea typeface="Calibri"/>
              <a:cs typeface="Calibri"/>
            </a:rPr>
            <a:pPr marL="0" indent="0" algn="ctr"/>
            <a:t>S/  7,220.58</a:t>
          </a:fld>
          <a:endParaRPr lang="es-PE" sz="2400" b="0" i="0" u="none" strike="noStrike">
            <a:solidFill>
              <a:srgbClr val="000000"/>
            </a:solidFill>
            <a:latin typeface="Bodoni MT" panose="02070603080606020203" pitchFamily="18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643465</xdr:colOff>
      <xdr:row>4</xdr:row>
      <xdr:rowOff>143933</xdr:rowOff>
    </xdr:from>
    <xdr:to>
      <xdr:col>8</xdr:col>
      <xdr:colOff>372533</xdr:colOff>
      <xdr:row>15</xdr:row>
      <xdr:rowOff>135467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9C5C38B-A0B2-4AFF-BD3F-3D7371BF4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245533</xdr:colOff>
      <xdr:row>17</xdr:row>
      <xdr:rowOff>16934</xdr:rowOff>
    </xdr:from>
    <xdr:to>
      <xdr:col>11</xdr:col>
      <xdr:colOff>246168</xdr:colOff>
      <xdr:row>32</xdr:row>
      <xdr:rowOff>91864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FF494D8-C81C-4D89-BE14-7918C55FA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778933</xdr:colOff>
      <xdr:row>7</xdr:row>
      <xdr:rowOff>84666</xdr:rowOff>
    </xdr:from>
    <xdr:to>
      <xdr:col>12</xdr:col>
      <xdr:colOff>601131</xdr:colOff>
      <xdr:row>17</xdr:row>
      <xdr:rowOff>183092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6209657-E84A-43AE-99C7-768E25FC6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795866</xdr:colOff>
      <xdr:row>1</xdr:row>
      <xdr:rowOff>118533</xdr:rowOff>
    </xdr:from>
    <xdr:to>
      <xdr:col>3</xdr:col>
      <xdr:colOff>364066</xdr:colOff>
      <xdr:row>3</xdr:row>
      <xdr:rowOff>135467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DBAFAB3-6F08-12D7-D664-A22C1A1A539B}"/>
            </a:ext>
          </a:extLst>
        </xdr:cNvPr>
        <xdr:cNvSpPr txBox="1"/>
      </xdr:nvSpPr>
      <xdr:spPr>
        <a:xfrm>
          <a:off x="795866" y="304800"/>
          <a:ext cx="2565400" cy="38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000" b="1">
              <a:solidFill>
                <a:sysClr val="windowText" lastClr="000000"/>
              </a:solidFill>
              <a:latin typeface="Baskerville Old Face" panose="02020602080505020303" pitchFamily="18" charset="0"/>
              <a:cs typeface="Times New Roman" panose="02020603050405020304" pitchFamily="18" charset="0"/>
            </a:rPr>
            <a:t>Total facturado</a:t>
          </a:r>
        </a:p>
      </xdr:txBody>
    </xdr:sp>
    <xdr:clientData/>
  </xdr:twoCellAnchor>
  <xdr:twoCellAnchor>
    <xdr:from>
      <xdr:col>0</xdr:col>
      <xdr:colOff>778933</xdr:colOff>
      <xdr:row>13</xdr:row>
      <xdr:rowOff>84665</xdr:rowOff>
    </xdr:from>
    <xdr:to>
      <xdr:col>6</xdr:col>
      <xdr:colOff>485943</xdr:colOff>
      <xdr:row>16</xdr:row>
      <xdr:rowOff>141475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94EFB799-3874-4A47-830E-ABFD2032EE67}"/>
            </a:ext>
          </a:extLst>
        </xdr:cNvPr>
        <xdr:cNvSpPr txBox="1"/>
      </xdr:nvSpPr>
      <xdr:spPr>
        <a:xfrm>
          <a:off x="778933" y="2506132"/>
          <a:ext cx="5091810" cy="615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000" b="1">
              <a:solidFill>
                <a:sysClr val="windowText" lastClr="000000"/>
              </a:solidFill>
              <a:latin typeface="Baskerville Old Face" panose="02020602080505020303" pitchFamily="18" charset="0"/>
              <a:cs typeface="Times New Roman" panose="02020603050405020304" pitchFamily="18" charset="0"/>
            </a:rPr>
            <a:t>Total cuentas por pagar </a:t>
          </a:r>
        </a:p>
      </xdr:txBody>
    </xdr:sp>
    <xdr:clientData/>
  </xdr:twoCellAnchor>
  <xdr:twoCellAnchor>
    <xdr:from>
      <xdr:col>0</xdr:col>
      <xdr:colOff>1100665</xdr:colOff>
      <xdr:row>19</xdr:row>
      <xdr:rowOff>101599</xdr:rowOff>
    </xdr:from>
    <xdr:to>
      <xdr:col>4</xdr:col>
      <xdr:colOff>387637</xdr:colOff>
      <xdr:row>22</xdr:row>
      <xdr:rowOff>7648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7FDF197-10D5-4E81-B9CE-4E8313B16B30}"/>
            </a:ext>
          </a:extLst>
        </xdr:cNvPr>
        <xdr:cNvSpPr txBox="1"/>
      </xdr:nvSpPr>
      <xdr:spPr>
        <a:xfrm>
          <a:off x="1100665" y="3640666"/>
          <a:ext cx="3080039" cy="464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000" b="1">
              <a:solidFill>
                <a:sysClr val="windowText" lastClr="000000"/>
              </a:solidFill>
              <a:latin typeface="Baskerville Old Face" panose="02020602080505020303" pitchFamily="18" charset="0"/>
              <a:cs typeface="Times New Roman" panose="02020603050405020304" pitchFamily="18" charset="0"/>
            </a:rPr>
            <a:t>Facturas vencidas</a:t>
          </a:r>
        </a:p>
      </xdr:txBody>
    </xdr:sp>
    <xdr:clientData/>
  </xdr:twoCellAnchor>
  <xdr:twoCellAnchor>
    <xdr:from>
      <xdr:col>0</xdr:col>
      <xdr:colOff>753532</xdr:colOff>
      <xdr:row>7</xdr:row>
      <xdr:rowOff>25399</xdr:rowOff>
    </xdr:from>
    <xdr:to>
      <xdr:col>4</xdr:col>
      <xdr:colOff>173064</xdr:colOff>
      <xdr:row>9</xdr:row>
      <xdr:rowOff>86306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36E7785D-B6D8-411A-917F-F7B6AFF38B9C}"/>
            </a:ext>
          </a:extLst>
        </xdr:cNvPr>
        <xdr:cNvSpPr txBox="1"/>
      </xdr:nvSpPr>
      <xdr:spPr>
        <a:xfrm>
          <a:off x="753532" y="1329266"/>
          <a:ext cx="3212599" cy="433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000" b="1">
              <a:solidFill>
                <a:sysClr val="windowText" lastClr="000000"/>
              </a:solidFill>
              <a:latin typeface="Baskerville Old Face" panose="02020602080505020303" pitchFamily="18" charset="0"/>
              <a:cs typeface="Times New Roman" panose="02020603050405020304" pitchFamily="18" charset="0"/>
            </a:rPr>
            <a:t>Pagos realizados</a:t>
          </a:r>
        </a:p>
      </xdr:txBody>
    </xdr:sp>
    <xdr:clientData/>
  </xdr:twoCellAnchor>
  <xdr:twoCellAnchor>
    <xdr:from>
      <xdr:col>0</xdr:col>
      <xdr:colOff>753533</xdr:colOff>
      <xdr:row>25</xdr:row>
      <xdr:rowOff>118533</xdr:rowOff>
    </xdr:from>
    <xdr:to>
      <xdr:col>4</xdr:col>
      <xdr:colOff>562942</xdr:colOff>
      <xdr:row>27</xdr:row>
      <xdr:rowOff>154313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B08BC30-8672-4FA8-A729-9CBBA500942A}"/>
            </a:ext>
          </a:extLst>
        </xdr:cNvPr>
        <xdr:cNvSpPr txBox="1"/>
      </xdr:nvSpPr>
      <xdr:spPr>
        <a:xfrm>
          <a:off x="753533" y="4775200"/>
          <a:ext cx="3602476" cy="4083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000" b="1">
              <a:solidFill>
                <a:sysClr val="windowText" lastClr="000000"/>
              </a:solidFill>
              <a:latin typeface="Baskerville Old Face" panose="02020602080505020303" pitchFamily="18" charset="0"/>
              <a:cs typeface="Times New Roman" panose="02020603050405020304" pitchFamily="18" charset="0"/>
            </a:rPr>
            <a:t>Detracciones estimadas </a:t>
          </a:r>
        </a:p>
        <a:p>
          <a:endParaRPr lang="es-PE" sz="2000" b="1">
            <a:solidFill>
              <a:sysClr val="windowText" lastClr="000000"/>
            </a:solidFill>
            <a:latin typeface="Baskerville Old Face" panose="02020602080505020303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694265</xdr:colOff>
      <xdr:row>1</xdr:row>
      <xdr:rowOff>118534</xdr:rowOff>
    </xdr:from>
    <xdr:to>
      <xdr:col>12</xdr:col>
      <xdr:colOff>389466</xdr:colOff>
      <xdr:row>7</xdr:row>
      <xdr:rowOff>25400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410921F3-294D-4C7C-BAD5-69CD48377CC1}"/>
            </a:ext>
          </a:extLst>
        </xdr:cNvPr>
        <xdr:cNvSpPr txBox="1"/>
      </xdr:nvSpPr>
      <xdr:spPr>
        <a:xfrm>
          <a:off x="4487332" y="304801"/>
          <a:ext cx="6062134" cy="10244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2800" b="1">
              <a:latin typeface="Abadi" panose="020F0502020204030204" pitchFamily="34" charset="0"/>
            </a:rPr>
            <a:t>Resumen Ejecutivo – Cuentas por Pagar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OMARA" refreshedDate="46019.646640624997" createdVersion="8" refreshedVersion="8" minRefreshableVersion="3" recordCount="90" xr:uid="{A8FD9282-CECB-4D41-B4D4-60C162F90549}">
  <cacheSource type="worksheet">
    <worksheetSource name="tbFacturas"/>
  </cacheSource>
  <cacheFields count="13">
    <cacheField name="FechaEmisión" numFmtId="164">
      <sharedItems containsSemiMixedTypes="0" containsNonDate="0" containsDate="1" containsString="0" minDate="2025-11-01T00:00:00" maxDate="2025-12-29T00:00:00"/>
    </cacheField>
    <cacheField name="Proveedor" numFmtId="0">
      <sharedItems count="10">
        <s v="Logística Sur SAC"/>
        <s v="Servicios Generales Beta SAC"/>
        <s v="Seguridad Integral Omega SAC"/>
        <s v="Soluciones Informáticas SAC"/>
        <s v="Mantenimiento Técnico Perú SAC"/>
        <s v="Distribuidora Alfa SAC"/>
        <s v="Servicios Integrales Andinos SAC"/>
        <s v="Consultoría Delta SRL"/>
        <s v="Suministros Empresariales SAC"/>
        <s v="Transportes Lima Express SAC"/>
      </sharedItems>
    </cacheField>
    <cacheField name="NumFactura" numFmtId="0">
      <sharedItems/>
    </cacheField>
    <cacheField name="Base" numFmtId="0">
      <sharedItems containsSemiMixedTypes="0" containsString="0" containsNumber="1" minValue="313.83999999999997" maxValue="3678.77"/>
    </cacheField>
    <cacheField name="IGV" numFmtId="0">
      <sharedItems containsSemiMixedTypes="0" containsString="0" containsNumber="1" minValue="56.491199999999992" maxValue="662.17859999999996"/>
    </cacheField>
    <cacheField name="Total" numFmtId="0">
      <sharedItems containsSemiMixedTypes="0" containsString="0" containsNumber="1" minValue="370.33119999999997" maxValue="4340.9485999999997"/>
    </cacheField>
    <cacheField name="¿Detracción?" numFmtId="0">
      <sharedItems count="2">
        <s v="SI"/>
        <s v="NO"/>
      </sharedItems>
    </cacheField>
    <cacheField name="%Detracción" numFmtId="0">
      <sharedItems containsSemiMixedTypes="0" containsString="0" containsNumber="1" minValue="0" maxValue="0.12"/>
    </cacheField>
    <cacheField name="MontoDetracción" numFmtId="0">
      <sharedItems containsSemiMixedTypes="0" containsString="0" containsNumber="1" minValue="0" maxValue="503.85386399999993"/>
    </cacheField>
    <cacheField name="FechaVencimiento" numFmtId="14">
      <sharedItems containsSemiMixedTypes="0" containsNonDate="0" containsDate="1" containsString="0" minDate="2025-11-20T00:00:00" maxDate="2026-02-10T00:00:00" count="51">
        <d v="2026-01-25T00:00:00"/>
        <d v="2025-12-24T00:00:00"/>
        <d v="2026-01-07T00:00:00"/>
        <d v="2026-01-02T00:00:00"/>
        <d v="2026-01-14T00:00:00"/>
        <d v="2025-12-23T00:00:00"/>
        <d v="2025-12-28T00:00:00"/>
        <d v="2026-01-18T00:00:00"/>
        <d v="2025-12-07T00:00:00"/>
        <d v="2026-01-21T00:00:00"/>
        <d v="2026-01-09T00:00:00"/>
        <d v="2026-01-26T00:00:00"/>
        <d v="2025-12-05T00:00:00"/>
        <d v="2025-12-06T00:00:00"/>
        <d v="2026-01-23T00:00:00"/>
        <d v="2025-11-29T00:00:00"/>
        <d v="2026-01-08T00:00:00"/>
        <d v="2025-11-26T00:00:00"/>
        <d v="2025-12-11T00:00:00"/>
        <d v="2026-01-05T00:00:00"/>
        <d v="2025-12-09T00:00:00"/>
        <d v="2025-12-19T00:00:00"/>
        <d v="2025-12-30T00:00:00"/>
        <d v="2025-12-20T00:00:00"/>
        <d v="2025-12-17T00:00:00"/>
        <d v="2025-11-22T00:00:00"/>
        <d v="2026-01-03T00:00:00"/>
        <d v="2025-12-21T00:00:00"/>
        <d v="2025-12-31T00:00:00"/>
        <d v="2026-01-11T00:00:00"/>
        <d v="2026-01-13T00:00:00"/>
        <d v="2025-12-16T00:00:00"/>
        <d v="2026-01-27T00:00:00"/>
        <d v="2026-01-28T00:00:00"/>
        <d v="2026-02-09T00:00:00"/>
        <d v="2025-11-20T00:00:00"/>
        <d v="2026-01-04T00:00:00"/>
        <d v="2025-12-02T00:00:00"/>
        <d v="2026-01-20T00:00:00"/>
        <d v="2025-12-10T00:00:00"/>
        <d v="2026-01-17T00:00:00"/>
        <d v="2025-12-04T00:00:00"/>
        <d v="2026-01-12T00:00:00"/>
        <d v="2025-12-14T00:00:00"/>
        <d v="2025-11-24T00:00:00"/>
        <d v="2025-12-22T00:00:00"/>
        <d v="2026-01-01T00:00:00"/>
        <d v="2025-12-26T00:00:00"/>
        <d v="2026-01-24T00:00:00"/>
        <d v="2025-12-03T00:00:00"/>
        <d v="2026-01-15T00:00:00"/>
      </sharedItems>
      <fieldGroup par="12"/>
    </cacheField>
    <cacheField name="Meses (FechaVencimiento)" numFmtId="0" databaseField="0">
      <fieldGroup base="9">
        <rangePr groupBy="months" startDate="2025-11-20T00:00:00" endDate="2026-02-10T00:00:00"/>
        <groupItems count="14">
          <s v="&lt;20/1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0/02/2026"/>
        </groupItems>
      </fieldGroup>
    </cacheField>
    <cacheField name="Trimestres (FechaVencimiento)" numFmtId="0" databaseField="0">
      <fieldGroup base="9">
        <rangePr groupBy="quarters" startDate="2025-11-20T00:00:00" endDate="2026-02-10T00:00:00"/>
        <groupItems count="6">
          <s v="&lt;20/11/2025"/>
          <s v="Trim.1"/>
          <s v="Trim.2"/>
          <s v="Trim.3"/>
          <s v="Trim.4"/>
          <s v="&gt;10/02/2026"/>
        </groupItems>
      </fieldGroup>
    </cacheField>
    <cacheField name="Años (FechaVencimiento)" numFmtId="0" databaseField="0">
      <fieldGroup base="9">
        <rangePr groupBy="years" startDate="2025-11-20T00:00:00" endDate="2026-02-10T00:00:00"/>
        <groupItems count="4">
          <s v="&lt;20/11/2025"/>
          <s v="2025"/>
          <s v="2026"/>
          <s v="&gt;10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OMARA" refreshedDate="46019.664459722226" createdVersion="8" refreshedVersion="8" minRefreshableVersion="3" recordCount="40" xr:uid="{31A1BF84-6CC9-42E5-8F49-C147E9575323}">
  <cacheSource type="worksheet">
    <worksheetSource name="tbPagos"/>
  </cacheSource>
  <cacheFields count="7">
    <cacheField name="NumFactura" numFmtId="0">
      <sharedItems/>
    </cacheField>
    <cacheField name="FechaPago" numFmtId="164">
      <sharedItems containsSemiMixedTypes="0" containsNonDate="0" containsDate="1" containsString="0" minDate="2025-11-06T00:00:00" maxDate="2026-02-10T00:00:00"/>
    </cacheField>
    <cacheField name="MedioPago" numFmtId="0">
      <sharedItems/>
    </cacheField>
    <cacheField name="MontoPagado" numFmtId="0">
      <sharedItems containsSemiMixedTypes="0" containsString="0" containsNumber="1" minValue="370.33119999999997" maxValue="4313.2186000000002"/>
    </cacheField>
    <cacheField name="TotalFactura" numFmtId="0">
      <sharedItems containsSemiMixedTypes="0" containsString="0" containsNumber="1" minValue="370.33119999999997" maxValue="4313.2186000000002"/>
    </cacheField>
    <cacheField name="Saldo" numFmtId="0">
      <sharedItems containsSemiMixedTypes="0" containsString="0" containsNumber="1" minValue="-530.18200000000002" maxValue="3641.2514000000001"/>
    </cacheField>
    <cacheField name="EstadoPag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5-12-11T00:00:00"/>
    <x v="0"/>
    <s v="F01-000001"/>
    <n v="2875.43"/>
    <n v="517.5773999999999"/>
    <n v="3393.0073999999995"/>
    <x v="0"/>
    <n v="0.12"/>
    <n v="407.16088799999994"/>
    <x v="0"/>
  </r>
  <r>
    <d v="2025-11-09T00:00:00"/>
    <x v="0"/>
    <s v="F03-000002"/>
    <n v="2872.34"/>
    <n v="517.02120000000002"/>
    <n v="3389.3612000000003"/>
    <x v="0"/>
    <n v="0.12"/>
    <n v="406.723344"/>
    <x v="1"/>
  </r>
  <r>
    <d v="2025-12-08T00:00:00"/>
    <x v="1"/>
    <s v="F01-000003"/>
    <n v="384.29"/>
    <n v="69.172200000000004"/>
    <n v="453.46220000000005"/>
    <x v="0"/>
    <n v="0.04"/>
    <n v="18.138488000000002"/>
    <x v="2"/>
  </r>
  <r>
    <d v="2025-12-03T00:00:00"/>
    <x v="2"/>
    <s v="F01-000004"/>
    <n v="2244.36"/>
    <n v="403.98480000000001"/>
    <n v="2648.3448000000003"/>
    <x v="1"/>
    <n v="0.12"/>
    <n v="0"/>
    <x v="3"/>
  </r>
  <r>
    <d v="2025-12-15T00:00:00"/>
    <x v="3"/>
    <s v="F02-000005"/>
    <n v="1051.54"/>
    <n v="189.27719999999999"/>
    <n v="1240.8172"/>
    <x v="1"/>
    <n v="0"/>
    <n v="0"/>
    <x v="4"/>
  </r>
  <r>
    <d v="2025-12-08T00:00:00"/>
    <x v="4"/>
    <s v="F01-000006"/>
    <n v="2935.83"/>
    <n v="528.44939999999997"/>
    <n v="3464.2793999999999"/>
    <x v="0"/>
    <n v="0.12"/>
    <n v="415.713528"/>
    <x v="5"/>
  </r>
  <r>
    <d v="2025-11-28T00:00:00"/>
    <x v="5"/>
    <s v="F02-000007"/>
    <n v="824.18"/>
    <n v="148.35239999999999"/>
    <n v="972.53239999999994"/>
    <x v="1"/>
    <n v="0"/>
    <n v="0"/>
    <x v="6"/>
  </r>
  <r>
    <d v="2025-12-19T00:00:00"/>
    <x v="5"/>
    <s v="F01-000008"/>
    <n v="604.61"/>
    <n v="108.82979999999999"/>
    <n v="713.43979999999999"/>
    <x v="1"/>
    <n v="0"/>
    <n v="0"/>
    <x v="7"/>
  </r>
  <r>
    <d v="2025-11-07T00:00:00"/>
    <x v="5"/>
    <s v="F02-000009"/>
    <n v="2393.04"/>
    <n v="430.74719999999996"/>
    <n v="2823.7871999999998"/>
    <x v="1"/>
    <n v="0"/>
    <n v="0"/>
    <x v="8"/>
  </r>
  <r>
    <d v="2025-12-22T00:00:00"/>
    <x v="6"/>
    <s v="F03-000010"/>
    <n v="1887.99"/>
    <n v="339.83819999999997"/>
    <n v="2227.8281999999999"/>
    <x v="0"/>
    <n v="0.1"/>
    <n v="222.78282000000002"/>
    <x v="9"/>
  </r>
  <r>
    <d v="2025-11-25T00:00:00"/>
    <x v="0"/>
    <s v="F03-000011"/>
    <n v="1306.1199999999999"/>
    <n v="235.10159999999996"/>
    <n v="1541.2215999999999"/>
    <x v="0"/>
    <n v="0.12"/>
    <n v="184.94659199999998"/>
    <x v="10"/>
  </r>
  <r>
    <d v="2025-12-27T00:00:00"/>
    <x v="5"/>
    <s v="F03-000012"/>
    <n v="953.01"/>
    <n v="171.54179999999999"/>
    <n v="1124.5518"/>
    <x v="1"/>
    <n v="0"/>
    <n v="0"/>
    <x v="11"/>
  </r>
  <r>
    <d v="2025-11-05T00:00:00"/>
    <x v="6"/>
    <s v="F03-000013"/>
    <n v="1077.6400000000001"/>
    <n v="193.9752"/>
    <n v="1271.6152000000002"/>
    <x v="0"/>
    <n v="0.1"/>
    <n v="127.16152000000002"/>
    <x v="12"/>
  </r>
  <r>
    <d v="2025-11-06T00:00:00"/>
    <x v="7"/>
    <s v="F01-000014"/>
    <n v="1610.44"/>
    <n v="289.87920000000003"/>
    <n v="1900.3192000000001"/>
    <x v="0"/>
    <n v="0.1"/>
    <n v="190.03192000000001"/>
    <x v="13"/>
  </r>
  <r>
    <d v="2025-12-24T00:00:00"/>
    <x v="5"/>
    <s v="F01-000015"/>
    <n v="1575.63"/>
    <n v="283.61340000000001"/>
    <n v="1859.2434000000001"/>
    <x v="1"/>
    <n v="0"/>
    <n v="0"/>
    <x v="14"/>
  </r>
  <r>
    <d v="2025-11-14T00:00:00"/>
    <x v="4"/>
    <s v="F03-000016"/>
    <n v="3558.29"/>
    <n v="640.49220000000003"/>
    <n v="4198.7821999999996"/>
    <x v="0"/>
    <n v="0.12"/>
    <n v="503.85386399999993"/>
    <x v="15"/>
  </r>
  <r>
    <d v="2025-12-09T00:00:00"/>
    <x v="8"/>
    <s v="F03-000017"/>
    <n v="2831.94"/>
    <n v="509.74919999999997"/>
    <n v="3341.6891999999998"/>
    <x v="1"/>
    <n v="0"/>
    <n v="0"/>
    <x v="16"/>
  </r>
  <r>
    <d v="2025-11-11T00:00:00"/>
    <x v="9"/>
    <s v="F02-000018"/>
    <n v="1224.82"/>
    <n v="220.46759999999998"/>
    <n v="1445.2875999999999"/>
    <x v="1"/>
    <n v="0.04"/>
    <n v="0"/>
    <x v="17"/>
  </r>
  <r>
    <d v="2025-12-15T00:00:00"/>
    <x v="3"/>
    <s v="F01-000019"/>
    <n v="2676.15"/>
    <n v="481.70699999999999"/>
    <n v="3157.857"/>
    <x v="1"/>
    <n v="0"/>
    <n v="0"/>
    <x v="4"/>
  </r>
  <r>
    <d v="2025-12-24T00:00:00"/>
    <x v="6"/>
    <s v="F01-000020"/>
    <n v="3156.31"/>
    <n v="568.13580000000002"/>
    <n v="3724.4458"/>
    <x v="1"/>
    <n v="0.1"/>
    <n v="0"/>
    <x v="14"/>
  </r>
  <r>
    <d v="2025-11-26T00:00:00"/>
    <x v="4"/>
    <s v="F01-000021"/>
    <n v="1018.44"/>
    <n v="183.3192"/>
    <n v="1201.7592"/>
    <x v="1"/>
    <n v="0.12"/>
    <n v="0"/>
    <x v="18"/>
  </r>
  <r>
    <d v="2025-12-27T00:00:00"/>
    <x v="5"/>
    <s v="F01-000022"/>
    <n v="2574.04"/>
    <n v="463.32719999999995"/>
    <n v="3037.3671999999997"/>
    <x v="1"/>
    <n v="0"/>
    <n v="0"/>
    <x v="11"/>
  </r>
  <r>
    <d v="2025-11-26T00:00:00"/>
    <x v="9"/>
    <s v="F01-000023"/>
    <n v="1207.08"/>
    <n v="217.27439999999999"/>
    <n v="1424.3543999999999"/>
    <x v="0"/>
    <n v="0.04"/>
    <n v="56.974176"/>
    <x v="18"/>
  </r>
  <r>
    <d v="2025-12-06T00:00:00"/>
    <x v="3"/>
    <s v="F02-000024"/>
    <n v="2894.55"/>
    <n v="521.01900000000001"/>
    <n v="3415.5690000000004"/>
    <x v="1"/>
    <n v="0"/>
    <n v="0"/>
    <x v="19"/>
  </r>
  <r>
    <d v="2025-11-28T00:00:00"/>
    <x v="2"/>
    <s v="F02-000025"/>
    <n v="1546.99"/>
    <n v="278.45819999999998"/>
    <n v="1825.4482"/>
    <x v="1"/>
    <n v="0.12"/>
    <n v="0"/>
    <x v="6"/>
  </r>
  <r>
    <d v="2025-11-09T00:00:00"/>
    <x v="3"/>
    <s v="F02-000026"/>
    <n v="598.17999999999995"/>
    <n v="107.67239999999998"/>
    <n v="705.85239999999999"/>
    <x v="1"/>
    <n v="0"/>
    <n v="0"/>
    <x v="20"/>
  </r>
  <r>
    <d v="2025-11-04T00:00:00"/>
    <x v="0"/>
    <s v="F01-000027"/>
    <n v="2476.06"/>
    <n v="445.69079999999997"/>
    <n v="2921.7507999999998"/>
    <x v="1"/>
    <n v="0.12"/>
    <n v="0"/>
    <x v="21"/>
  </r>
  <r>
    <d v="2025-11-28T00:00:00"/>
    <x v="2"/>
    <s v="F01-000028"/>
    <n v="1626.69"/>
    <n v="292.80419999999998"/>
    <n v="1919.4942000000001"/>
    <x v="0"/>
    <n v="0.12"/>
    <n v="230.339304"/>
    <x v="6"/>
  </r>
  <r>
    <d v="2025-11-30T00:00:00"/>
    <x v="3"/>
    <s v="F02-000029"/>
    <n v="3678.77"/>
    <n v="662.17859999999996"/>
    <n v="4340.9485999999997"/>
    <x v="1"/>
    <n v="0"/>
    <n v="0"/>
    <x v="22"/>
  </r>
  <r>
    <d v="2025-12-26T00:00:00"/>
    <x v="6"/>
    <s v="F03-000030"/>
    <n v="2802.53"/>
    <n v="504.4554"/>
    <n v="3306.9854"/>
    <x v="0"/>
    <n v="0.1"/>
    <n v="330.69854000000004"/>
    <x v="0"/>
  </r>
  <r>
    <d v="2025-12-05T00:00:00"/>
    <x v="4"/>
    <s v="F03-000031"/>
    <n v="1470.61"/>
    <n v="264.70979999999997"/>
    <n v="1735.3197999999998"/>
    <x v="0"/>
    <n v="0.12"/>
    <n v="208.23837599999996"/>
    <x v="23"/>
  </r>
  <r>
    <d v="2025-11-11T00:00:00"/>
    <x v="9"/>
    <s v="F01-000032"/>
    <n v="3618.36"/>
    <n v="651.3048"/>
    <n v="4269.6648000000005"/>
    <x v="1"/>
    <n v="0.04"/>
    <n v="0"/>
    <x v="17"/>
  </r>
  <r>
    <d v="2025-11-17T00:00:00"/>
    <x v="3"/>
    <s v="F01-000033"/>
    <n v="2056.89"/>
    <n v="370.24019999999996"/>
    <n v="2427.1301999999996"/>
    <x v="1"/>
    <n v="0"/>
    <n v="0"/>
    <x v="24"/>
  </r>
  <r>
    <d v="2025-11-07T00:00:00"/>
    <x v="4"/>
    <s v="F03-000034"/>
    <n v="2056.8200000000002"/>
    <n v="370.2276"/>
    <n v="2427.0476000000003"/>
    <x v="0"/>
    <n v="0.12"/>
    <n v="291.24571200000003"/>
    <x v="25"/>
  </r>
  <r>
    <d v="2025-11-24T00:00:00"/>
    <x v="8"/>
    <s v="F03-000035"/>
    <n v="3617.25"/>
    <n v="651.10500000000002"/>
    <n v="4268.3549999999996"/>
    <x v="1"/>
    <n v="0"/>
    <n v="0"/>
    <x v="1"/>
  </r>
  <r>
    <d v="2025-12-04T00:00:00"/>
    <x v="6"/>
    <s v="F03-000036"/>
    <n v="1414.55"/>
    <n v="254.61899999999997"/>
    <n v="1669.1689999999999"/>
    <x v="0"/>
    <n v="0.1"/>
    <n v="166.9169"/>
    <x v="26"/>
  </r>
  <r>
    <d v="2025-11-24T00:00:00"/>
    <x v="4"/>
    <s v="F01-000037"/>
    <n v="482.74"/>
    <n v="86.893199999999993"/>
    <n v="569.63319999999999"/>
    <x v="1"/>
    <n v="0.12"/>
    <n v="0"/>
    <x v="20"/>
  </r>
  <r>
    <d v="2025-11-06T00:00:00"/>
    <x v="0"/>
    <s v="F03-000038"/>
    <n v="1980.97"/>
    <n v="356.57459999999998"/>
    <n v="2337.5446000000002"/>
    <x v="0"/>
    <n v="0.12"/>
    <n v="280.50535200000002"/>
    <x v="27"/>
  </r>
  <r>
    <d v="2025-12-19T00:00:00"/>
    <x v="3"/>
    <s v="F01-000039"/>
    <n v="729.37"/>
    <n v="131.28659999999999"/>
    <n v="860.65660000000003"/>
    <x v="1"/>
    <n v="0"/>
    <n v="0"/>
    <x v="7"/>
  </r>
  <r>
    <d v="2025-12-01T00:00:00"/>
    <x v="3"/>
    <s v="F01-000040"/>
    <n v="1207.7"/>
    <n v="217.386"/>
    <n v="1425.086"/>
    <x v="1"/>
    <n v="0"/>
    <n v="0"/>
    <x v="28"/>
  </r>
  <r>
    <d v="2025-12-26T00:00:00"/>
    <x v="2"/>
    <s v="F02-000041"/>
    <n v="3655.27"/>
    <n v="657.94859999999994"/>
    <n v="4313.2186000000002"/>
    <x v="1"/>
    <n v="0.12"/>
    <n v="0"/>
    <x v="0"/>
  </r>
  <r>
    <d v="2025-12-19T00:00:00"/>
    <x v="7"/>
    <s v="F03-000042"/>
    <n v="1371.01"/>
    <n v="246.78179999999998"/>
    <n v="1617.7918"/>
    <x v="1"/>
    <n v="0.1"/>
    <n v="0"/>
    <x v="7"/>
  </r>
  <r>
    <d v="2025-12-12T00:00:00"/>
    <x v="5"/>
    <s v="F02-000043"/>
    <n v="3428.65"/>
    <n v="617.15700000000004"/>
    <n v="4045.8070000000002"/>
    <x v="1"/>
    <n v="0"/>
    <n v="0"/>
    <x v="29"/>
  </r>
  <r>
    <d v="2025-11-29T00:00:00"/>
    <x v="0"/>
    <s v="F01-000044"/>
    <n v="1066.44"/>
    <n v="191.95920000000001"/>
    <n v="1258.3992000000001"/>
    <x v="0"/>
    <n v="0.12"/>
    <n v="151.007904"/>
    <x v="30"/>
  </r>
  <r>
    <d v="2025-12-08T00:00:00"/>
    <x v="3"/>
    <s v="F01-000045"/>
    <n v="2339.54"/>
    <n v="421.11719999999997"/>
    <n v="2760.6572000000001"/>
    <x v="1"/>
    <n v="0"/>
    <n v="0"/>
    <x v="2"/>
  </r>
  <r>
    <d v="2025-11-01T00:00:00"/>
    <x v="0"/>
    <s v="F03-000046"/>
    <n v="2488.86"/>
    <n v="447.9948"/>
    <n v="2936.8548000000001"/>
    <x v="0"/>
    <n v="0.12"/>
    <n v="352.42257599999999"/>
    <x v="31"/>
  </r>
  <r>
    <d v="2025-12-28T00:00:00"/>
    <x v="6"/>
    <s v="F02-000047"/>
    <n v="528"/>
    <n v="95.039999999999992"/>
    <n v="623.04"/>
    <x v="0"/>
    <n v="0.1"/>
    <n v="62.304000000000002"/>
    <x v="32"/>
  </r>
  <r>
    <d v="2025-12-13T00:00:00"/>
    <x v="9"/>
    <s v="F01-000048"/>
    <n v="2167.3200000000002"/>
    <n v="390.11760000000004"/>
    <n v="2557.4376000000002"/>
    <x v="1"/>
    <n v="0.04"/>
    <n v="0"/>
    <x v="6"/>
  </r>
  <r>
    <d v="2025-12-27T00:00:00"/>
    <x v="2"/>
    <s v="F03-000049"/>
    <n v="1934.35"/>
    <n v="348.18299999999999"/>
    <n v="2282.5329999999999"/>
    <x v="1"/>
    <n v="0.12"/>
    <n v="0"/>
    <x v="11"/>
  </r>
  <r>
    <d v="2025-12-22T00:00:00"/>
    <x v="1"/>
    <s v="F01-000050"/>
    <n v="610.14"/>
    <n v="109.8252"/>
    <n v="719.96519999999998"/>
    <x v="0"/>
    <n v="0.04"/>
    <n v="28.798608000000002"/>
    <x v="9"/>
  </r>
  <r>
    <d v="2025-11-23T00:00:00"/>
    <x v="1"/>
    <s v="F02-000051"/>
    <n v="1914.59"/>
    <n v="344.62619999999998"/>
    <n v="2259.2161999999998"/>
    <x v="1"/>
    <n v="0.04"/>
    <n v="0"/>
    <x v="5"/>
  </r>
  <r>
    <d v="2025-12-14T00:00:00"/>
    <x v="0"/>
    <s v="F01-000052"/>
    <n v="1689.17"/>
    <n v="304.05059999999997"/>
    <n v="1993.2206000000001"/>
    <x v="0"/>
    <n v="0.12"/>
    <n v="239.18647200000001"/>
    <x v="33"/>
  </r>
  <r>
    <d v="2025-12-26T00:00:00"/>
    <x v="0"/>
    <s v="F01-000053"/>
    <n v="950.57"/>
    <n v="171.1026"/>
    <n v="1121.6726000000001"/>
    <x v="0"/>
    <n v="0.12"/>
    <n v="134.60071200000002"/>
    <x v="34"/>
  </r>
  <r>
    <d v="2025-11-09T00:00:00"/>
    <x v="1"/>
    <s v="F01-000054"/>
    <n v="1254.9100000000001"/>
    <n v="225.88380000000001"/>
    <n v="1480.7938000000001"/>
    <x v="0"/>
    <n v="0.04"/>
    <n v="59.231752000000007"/>
    <x v="20"/>
  </r>
  <r>
    <d v="2025-11-05T00:00:00"/>
    <x v="9"/>
    <s v="F03-000055"/>
    <n v="622.67999999999995"/>
    <n v="112.08239999999999"/>
    <n v="734.76239999999996"/>
    <x v="0"/>
    <n v="0.04"/>
    <n v="29.390495999999999"/>
    <x v="35"/>
  </r>
  <r>
    <d v="2025-12-05T00:00:00"/>
    <x v="6"/>
    <s v="F01-000056"/>
    <n v="3522.28"/>
    <n v="634.0104"/>
    <n v="4156.2903999999999"/>
    <x v="1"/>
    <n v="0.1"/>
    <n v="0"/>
    <x v="36"/>
  </r>
  <r>
    <d v="2025-11-11T00:00:00"/>
    <x v="1"/>
    <s v="F02-000057"/>
    <n v="1964.75"/>
    <n v="353.65499999999997"/>
    <n v="2318.4049999999997"/>
    <x v="1"/>
    <n v="0.04"/>
    <n v="0"/>
    <x v="18"/>
  </r>
  <r>
    <d v="2025-12-28T00:00:00"/>
    <x v="6"/>
    <s v="F01-000058"/>
    <n v="1606.41"/>
    <n v="289.15379999999999"/>
    <n v="1895.5638000000001"/>
    <x v="1"/>
    <n v="0.1"/>
    <n v="0"/>
    <x v="32"/>
  </r>
  <r>
    <d v="2025-11-17T00:00:00"/>
    <x v="9"/>
    <s v="F02-000059"/>
    <n v="1760.53"/>
    <n v="316.8954"/>
    <n v="2077.4254000000001"/>
    <x v="1"/>
    <n v="0.04"/>
    <n v="0"/>
    <x v="37"/>
  </r>
  <r>
    <d v="2025-12-21T00:00:00"/>
    <x v="3"/>
    <s v="F03-000060"/>
    <n v="2794.43"/>
    <n v="502.99739999999997"/>
    <n v="3297.4273999999996"/>
    <x v="1"/>
    <n v="0"/>
    <n v="0"/>
    <x v="38"/>
  </r>
  <r>
    <d v="2025-11-10T00:00:00"/>
    <x v="7"/>
    <s v="F02-000061"/>
    <n v="1041.95"/>
    <n v="187.55099999999999"/>
    <n v="1229.501"/>
    <x v="0"/>
    <n v="0.1"/>
    <n v="122.95010000000001"/>
    <x v="39"/>
  </r>
  <r>
    <d v="2025-12-18T00:00:00"/>
    <x v="3"/>
    <s v="F01-000062"/>
    <n v="2897.91"/>
    <n v="521.62379999999996"/>
    <n v="3419.5337999999997"/>
    <x v="1"/>
    <n v="0"/>
    <n v="0"/>
    <x v="40"/>
  </r>
  <r>
    <d v="2025-11-04T00:00:00"/>
    <x v="6"/>
    <s v="F03-000063"/>
    <n v="1948.76"/>
    <n v="350.77679999999998"/>
    <n v="2299.5367999999999"/>
    <x v="1"/>
    <n v="0.1"/>
    <n v="0"/>
    <x v="41"/>
  </r>
  <r>
    <d v="2025-12-04T00:00:00"/>
    <x v="8"/>
    <s v="F01-000064"/>
    <n v="3642.73"/>
    <n v="655.69139999999993"/>
    <n v="4298.4214000000002"/>
    <x v="1"/>
    <n v="0"/>
    <n v="0"/>
    <x v="26"/>
  </r>
  <r>
    <d v="2025-11-06T00:00:00"/>
    <x v="8"/>
    <s v="F01-000065"/>
    <n v="2362.62"/>
    <n v="425.27159999999998"/>
    <n v="2787.8915999999999"/>
    <x v="1"/>
    <n v="0"/>
    <n v="0"/>
    <x v="13"/>
  </r>
  <r>
    <d v="2025-12-14T00:00:00"/>
    <x v="7"/>
    <s v="F02-000066"/>
    <n v="699.6"/>
    <n v="125.928"/>
    <n v="825.52800000000002"/>
    <x v="1"/>
    <n v="0.1"/>
    <n v="0"/>
    <x v="30"/>
  </r>
  <r>
    <d v="2025-11-16T00:00:00"/>
    <x v="2"/>
    <s v="F03-000067"/>
    <n v="419.1"/>
    <n v="75.438000000000002"/>
    <n v="494.53800000000001"/>
    <x v="0"/>
    <n v="0.12"/>
    <n v="59.344560000000001"/>
    <x v="31"/>
  </r>
  <r>
    <d v="2025-12-13T00:00:00"/>
    <x v="2"/>
    <s v="F03-000068"/>
    <n v="2109.7399999999998"/>
    <n v="379.75319999999994"/>
    <n v="2489.4931999999999"/>
    <x v="1"/>
    <n v="0.12"/>
    <n v="0"/>
    <x v="42"/>
  </r>
  <r>
    <d v="2025-11-14T00:00:00"/>
    <x v="5"/>
    <s v="F01-000069"/>
    <n v="1209.6500000000001"/>
    <n v="217.73699999999999"/>
    <n v="1427.3870000000002"/>
    <x v="1"/>
    <n v="0"/>
    <n v="0"/>
    <x v="43"/>
  </r>
  <r>
    <d v="2025-11-09T00:00:00"/>
    <x v="4"/>
    <s v="F02-000070"/>
    <n v="1386.62"/>
    <n v="249.59159999999997"/>
    <n v="1636.2115999999999"/>
    <x v="1"/>
    <n v="0.12"/>
    <n v="0"/>
    <x v="44"/>
  </r>
  <r>
    <d v="2025-11-05T00:00:00"/>
    <x v="6"/>
    <s v="F02-000071"/>
    <n v="2454.06"/>
    <n v="441.73079999999999"/>
    <n v="2895.7907999999998"/>
    <x v="0"/>
    <n v="0.1"/>
    <n v="289.57907999999998"/>
    <x v="12"/>
  </r>
  <r>
    <d v="2025-11-07T00:00:00"/>
    <x v="0"/>
    <s v="F03-000072"/>
    <n v="1026.04"/>
    <n v="184.68719999999999"/>
    <n v="1210.7272"/>
    <x v="0"/>
    <n v="0.12"/>
    <n v="145.28726399999999"/>
    <x v="45"/>
  </r>
  <r>
    <d v="2025-11-23T00:00:00"/>
    <x v="0"/>
    <s v="F01-000073"/>
    <n v="1573.34"/>
    <n v="283.20119999999997"/>
    <n v="1856.5411999999999"/>
    <x v="0"/>
    <n v="0.12"/>
    <n v="222.78494399999997"/>
    <x v="2"/>
  </r>
  <r>
    <d v="2025-12-24T00:00:00"/>
    <x v="3"/>
    <s v="F03-000074"/>
    <n v="1338.81"/>
    <n v="240.98579999999998"/>
    <n v="1579.7957999999999"/>
    <x v="1"/>
    <n v="0"/>
    <n v="0"/>
    <x v="14"/>
  </r>
  <r>
    <d v="2025-12-22T00:00:00"/>
    <x v="3"/>
    <s v="F01-000075"/>
    <n v="2617.52"/>
    <n v="471.15359999999998"/>
    <n v="3088.6736000000001"/>
    <x v="1"/>
    <n v="0"/>
    <n v="0"/>
    <x v="9"/>
  </r>
  <r>
    <d v="2025-12-06T00:00:00"/>
    <x v="4"/>
    <s v="F03-000076"/>
    <n v="642.54999999999995"/>
    <n v="115.65899999999999"/>
    <n v="758.20899999999995"/>
    <x v="1"/>
    <n v="0.12"/>
    <n v="0"/>
    <x v="27"/>
  </r>
  <r>
    <d v="2025-11-17T00:00:00"/>
    <x v="0"/>
    <s v="F01-000077"/>
    <n v="2878.46"/>
    <n v="518.12279999999998"/>
    <n v="3396.5828000000001"/>
    <x v="0"/>
    <n v="0.12"/>
    <n v="407.58993600000002"/>
    <x v="46"/>
  </r>
  <r>
    <d v="2025-11-19T00:00:00"/>
    <x v="2"/>
    <s v="F01-000078"/>
    <n v="2791.64"/>
    <n v="502.49519999999995"/>
    <n v="3294.1351999999997"/>
    <x v="0"/>
    <n v="0.12"/>
    <n v="395.29622399999994"/>
    <x v="21"/>
  </r>
  <r>
    <d v="2025-12-11T00:00:00"/>
    <x v="4"/>
    <s v="F03-000079"/>
    <n v="1989.86"/>
    <n v="358.17479999999995"/>
    <n v="2348.0347999999999"/>
    <x v="1"/>
    <n v="0.12"/>
    <n v="0"/>
    <x v="47"/>
  </r>
  <r>
    <d v="2025-12-25T00:00:00"/>
    <x v="6"/>
    <s v="F01-000080"/>
    <n v="2500"/>
    <n v="450"/>
    <n v="2950"/>
    <x v="1"/>
    <n v="0.1"/>
    <n v="0"/>
    <x v="48"/>
  </r>
  <r>
    <d v="2025-11-03T00:00:00"/>
    <x v="6"/>
    <s v="F02-000081"/>
    <n v="2978.92"/>
    <n v="536.2056"/>
    <n v="3515.1256000000003"/>
    <x v="0"/>
    <n v="0.1"/>
    <n v="351.51256000000006"/>
    <x v="49"/>
  </r>
  <r>
    <d v="2025-11-17T00:00:00"/>
    <x v="8"/>
    <s v="F03-000082"/>
    <n v="1826.42"/>
    <n v="328.75560000000002"/>
    <n v="2155.1756"/>
    <x v="1"/>
    <n v="0"/>
    <n v="0"/>
    <x v="24"/>
  </r>
  <r>
    <d v="2025-12-16T00:00:00"/>
    <x v="1"/>
    <s v="F03-000083"/>
    <n v="313.83999999999997"/>
    <n v="56.491199999999992"/>
    <n v="370.33119999999997"/>
    <x v="0"/>
    <n v="0.04"/>
    <n v="14.813248"/>
    <x v="50"/>
  </r>
  <r>
    <d v="2025-12-27T00:00:00"/>
    <x v="8"/>
    <s v="F03-000084"/>
    <n v="406.1"/>
    <n v="73.097999999999999"/>
    <n v="479.19800000000004"/>
    <x v="1"/>
    <n v="0"/>
    <n v="0"/>
    <x v="11"/>
  </r>
  <r>
    <d v="2025-11-24T00:00:00"/>
    <x v="2"/>
    <s v="F03-000085"/>
    <n v="798.33"/>
    <n v="143.6994"/>
    <n v="942.02940000000001"/>
    <x v="0"/>
    <n v="0.12"/>
    <n v="113.04352799999999"/>
    <x v="1"/>
  </r>
  <r>
    <d v="2025-11-20T00:00:00"/>
    <x v="5"/>
    <s v="F01-000086"/>
    <n v="3426.24"/>
    <n v="616.72319999999991"/>
    <n v="4042.9631999999997"/>
    <x v="1"/>
    <n v="0"/>
    <n v="0"/>
    <x v="23"/>
  </r>
  <r>
    <d v="2025-11-14T00:00:00"/>
    <x v="7"/>
    <s v="F03-000087"/>
    <n v="639.78"/>
    <n v="115.1604"/>
    <n v="754.94039999999995"/>
    <x v="1"/>
    <n v="0.1"/>
    <n v="0"/>
    <x v="43"/>
  </r>
  <r>
    <d v="2025-12-27T00:00:00"/>
    <x v="1"/>
    <s v="F03-000088"/>
    <n v="2903.17"/>
    <n v="522.57060000000001"/>
    <n v="3425.7406000000001"/>
    <x v="1"/>
    <n v="0.04"/>
    <n v="0"/>
    <x v="11"/>
  </r>
  <r>
    <d v="2025-11-16T00:00:00"/>
    <x v="8"/>
    <s v="F01-000089"/>
    <n v="3364.96"/>
    <n v="605.69280000000003"/>
    <n v="3970.6527999999998"/>
    <x v="1"/>
    <n v="0"/>
    <n v="0"/>
    <x v="31"/>
  </r>
  <r>
    <d v="2025-11-02T00:00:00"/>
    <x v="8"/>
    <s v="F03-000090"/>
    <n v="3515.71"/>
    <n v="632.82780000000002"/>
    <n v="4148.5378000000001"/>
    <x v="1"/>
    <n v="0"/>
    <n v="0"/>
    <x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01-000015"/>
    <d v="2026-02-04T00:00:00"/>
    <s v="Efectivo"/>
    <n v="1859.2434000000001"/>
    <n v="1859.2434000000001"/>
    <n v="0"/>
    <s v="Pagado"/>
  </r>
  <r>
    <s v="F01-000062"/>
    <d v="2026-01-21T00:00:00"/>
    <s v="Depósito"/>
    <n v="3419.5337999999997"/>
    <n v="3419.5337999999997"/>
    <n v="0"/>
    <s v="Pagado"/>
  </r>
  <r>
    <s v="F01-000006"/>
    <d v="2025-12-26T00:00:00"/>
    <s v="Efectivo"/>
    <n v="3464.2793999999999"/>
    <n v="3464.2793999999999"/>
    <n v="0"/>
    <s v="Pagado"/>
  </r>
  <r>
    <s v="F03-000067"/>
    <d v="2025-12-01T00:00:00"/>
    <s v="Efectivo"/>
    <n v="1024.72"/>
    <n v="494.53800000000001"/>
    <n v="-530.18200000000002"/>
    <s v="Pagado"/>
  </r>
  <r>
    <s v="F01-000080"/>
    <d v="2026-02-08T00:00:00"/>
    <s v="Efectivo"/>
    <n v="2950"/>
    <n v="2950"/>
    <n v="0"/>
    <s v="Pagado"/>
  </r>
  <r>
    <s v="F03-000060"/>
    <d v="2026-01-10T00:00:00"/>
    <s v="Efectivo"/>
    <n v="3297.4273999999996"/>
    <n v="3297.4273999999996"/>
    <n v="0"/>
    <s v="Pagado"/>
  </r>
  <r>
    <s v="F01-000069"/>
    <d v="2025-12-01T00:00:00"/>
    <s v="Transferencia"/>
    <n v="591.75"/>
    <n v="1427.3870000000002"/>
    <n v="835.63700000000017"/>
    <s v="Parcial"/>
  </r>
  <r>
    <s v="F01-000058"/>
    <d v="2026-02-01T00:00:00"/>
    <s v="Efectivo"/>
    <n v="1895.5638000000001"/>
    <n v="1895.5638000000001"/>
    <n v="0"/>
    <s v="Pagado"/>
  </r>
  <r>
    <s v="F03-000016"/>
    <d v="2025-11-23T00:00:00"/>
    <s v="Depósito"/>
    <n v="4198.7821999999996"/>
    <n v="4198.7821999999996"/>
    <n v="0"/>
    <s v="Pagado"/>
  </r>
  <r>
    <s v="F01-000077"/>
    <d v="2026-01-01T00:00:00"/>
    <s v="Efectivo"/>
    <n v="1314.17"/>
    <n v="3396.5828000000001"/>
    <n v="2082.4128000000001"/>
    <s v="Parcial"/>
  </r>
  <r>
    <s v="F02-000018"/>
    <d v="2025-12-17T00:00:00"/>
    <s v="Depósito"/>
    <n v="1249.69"/>
    <n v="1445.2875999999999"/>
    <n v="195.59759999999983"/>
    <s v="Parcial"/>
  </r>
  <r>
    <s v="F03-000046"/>
    <d v="2025-11-06T00:00:00"/>
    <s v="Transferencia"/>
    <n v="2936.8548000000001"/>
    <n v="2936.8548000000001"/>
    <n v="0"/>
    <s v="Pagado"/>
  </r>
  <r>
    <s v="F01-000019"/>
    <d v="2026-01-03T00:00:00"/>
    <s v="Transferencia"/>
    <n v="3157.857"/>
    <n v="3157.857"/>
    <n v="0"/>
    <s v="Pagado"/>
  </r>
  <r>
    <s v="F01-000054"/>
    <d v="2025-12-28T00:00:00"/>
    <s v="Efectivo"/>
    <n v="1480.7938000000001"/>
    <n v="1480.7938000000001"/>
    <n v="0"/>
    <s v="Pagado"/>
  </r>
  <r>
    <s v="F01-000044"/>
    <d v="2026-01-08T00:00:00"/>
    <s v="Transferencia"/>
    <n v="1258.3992000000001"/>
    <n v="1258.3992000000001"/>
    <n v="0"/>
    <s v="Pagado"/>
  </r>
  <r>
    <s v="F03-000088"/>
    <d v="2026-01-08T00:00:00"/>
    <s v="Depósito"/>
    <n v="943.43"/>
    <n v="3425.7406000000001"/>
    <n v="2482.3106000000002"/>
    <s v="Parcial"/>
  </r>
  <r>
    <s v="F03-000084"/>
    <d v="2026-02-03T00:00:00"/>
    <s v="Efectivo"/>
    <n v="479.19800000000004"/>
    <n v="479.19800000000004"/>
    <n v="0"/>
    <s v="Pagado"/>
  </r>
  <r>
    <s v="F03-000068"/>
    <d v="2026-01-15T00:00:00"/>
    <s v="Efectivo"/>
    <n v="2489.4931999999999"/>
    <n v="2489.4931999999999"/>
    <n v="0"/>
    <s v="Pagado"/>
  </r>
  <r>
    <s v="F01-000027"/>
    <d v="2025-12-11T00:00:00"/>
    <s v="Depósito"/>
    <n v="2921.7507999999998"/>
    <n v="2921.7507999999998"/>
    <n v="0"/>
    <s v="Pagado"/>
  </r>
  <r>
    <s v="F03-000085"/>
    <d v="2026-01-03T00:00:00"/>
    <s v="Depósito"/>
    <n v="942.02940000000001"/>
    <n v="942.02940000000001"/>
    <n v="0"/>
    <s v="Pagado"/>
  </r>
  <r>
    <s v="F02-000051"/>
    <d v="2025-12-28T00:00:00"/>
    <s v="Depósito"/>
    <n v="595.58000000000004"/>
    <n v="2259.2161999999998"/>
    <n v="1663.6361999999999"/>
    <s v="Parcial"/>
  </r>
  <r>
    <s v="F02-000041"/>
    <d v="2026-02-09T00:00:00"/>
    <s v="Depósito"/>
    <n v="4313.2186000000002"/>
    <n v="4313.2186000000002"/>
    <n v="0"/>
    <s v="Pagado"/>
  </r>
  <r>
    <s v="F03-000010"/>
    <d v="2026-01-29T00:00:00"/>
    <s v="Depósito"/>
    <n v="2227.8281999999999"/>
    <n v="2227.8281999999999"/>
    <n v="0"/>
    <s v="Pagado"/>
  </r>
  <r>
    <s v="F01-000064"/>
    <d v="2025-12-26T00:00:00"/>
    <s v="Depósito"/>
    <n v="657.17"/>
    <n v="4298.4214000000002"/>
    <n v="3641.2514000000001"/>
    <s v="Parcial"/>
  </r>
  <r>
    <s v="F03-000074"/>
    <d v="2026-01-15T00:00:00"/>
    <s v="Depósito"/>
    <n v="1579.7957999999999"/>
    <n v="1579.7957999999999"/>
    <n v="0"/>
    <s v="Pagado"/>
  </r>
  <r>
    <s v="F03-000076"/>
    <d v="2026-01-14T00:00:00"/>
    <s v="Transferencia"/>
    <n v="570.02"/>
    <n v="758.20899999999995"/>
    <n v="188.18899999999996"/>
    <s v="Parcial"/>
  </r>
  <r>
    <s v="F01-000075"/>
    <d v="2026-02-09T00:00:00"/>
    <s v="Transferencia"/>
    <n v="3088.6736000000001"/>
    <n v="3088.6736000000001"/>
    <n v="0"/>
    <s v="Pagado"/>
  </r>
  <r>
    <s v="F01-000020"/>
    <d v="2026-01-02T00:00:00"/>
    <s v="Depósito"/>
    <n v="3724.4458"/>
    <n v="3724.4458"/>
    <n v="0"/>
    <s v="Pagado"/>
  </r>
  <r>
    <s v="F03-000011"/>
    <d v="2026-01-03T00:00:00"/>
    <s v="Depósito"/>
    <n v="1541.2215999999999"/>
    <n v="1541.2215999999999"/>
    <n v="0"/>
    <s v="Pagado"/>
  </r>
  <r>
    <s v="F01-000022"/>
    <d v="2026-01-14T00:00:00"/>
    <s v="Depósito"/>
    <n v="3037.3671999999997"/>
    <n v="3037.3671999999997"/>
    <n v="0"/>
    <s v="Pagado"/>
  </r>
  <r>
    <s v="F03-000031"/>
    <d v="2026-01-16T00:00:00"/>
    <s v="Efectivo"/>
    <n v="1609.05"/>
    <n v="1735.3197999999998"/>
    <n v="126.2697999999998"/>
    <s v="Parcial"/>
  </r>
  <r>
    <s v="F03-000083"/>
    <d v="2026-01-26T00:00:00"/>
    <s v="Depósito"/>
    <n v="370.33119999999997"/>
    <n v="370.33119999999997"/>
    <n v="0"/>
    <s v="Pagado"/>
  </r>
  <r>
    <s v="F01-000050"/>
    <d v="2026-01-18T00:00:00"/>
    <s v="Depósito"/>
    <n v="719.96519999999998"/>
    <n v="719.96519999999998"/>
    <n v="0"/>
    <s v="Pagado"/>
  </r>
  <r>
    <s v="F02-000024"/>
    <d v="2026-01-06T00:00:00"/>
    <s v="Efectivo"/>
    <n v="3415.5690000000004"/>
    <n v="3415.5690000000004"/>
    <n v="0"/>
    <s v="Pagado"/>
  </r>
  <r>
    <s v="F03-000042"/>
    <d v="2026-01-27T00:00:00"/>
    <s v="Efectivo"/>
    <n v="1617.7918"/>
    <n v="1617.7918"/>
    <n v="0"/>
    <s v="Pagado"/>
  </r>
  <r>
    <s v="F03-000087"/>
    <d v="2025-12-20T00:00:00"/>
    <s v="Transferencia"/>
    <n v="977.03"/>
    <n v="754.94039999999995"/>
    <n v="-222.08960000000002"/>
    <s v="Pagado"/>
  </r>
  <r>
    <s v="F03-000034"/>
    <d v="2025-12-06T00:00:00"/>
    <s v="Depósito"/>
    <n v="2427.0476000000003"/>
    <n v="2427.0476000000003"/>
    <n v="0"/>
    <s v="Pagado"/>
  </r>
  <r>
    <s v="F01-000001"/>
    <d v="2026-01-10T00:00:00"/>
    <s v="Efectivo"/>
    <n v="947.82"/>
    <n v="3393.0073999999995"/>
    <n v="2445.1873999999993"/>
    <s v="Parcial"/>
  </r>
  <r>
    <s v="F01-000048"/>
    <d v="2025-12-26T00:00:00"/>
    <s v="Efectivo"/>
    <n v="2557.4376000000002"/>
    <n v="2557.4376000000002"/>
    <n v="0"/>
    <s v="Pagado"/>
  </r>
  <r>
    <s v="F03-000055"/>
    <d v="2025-12-05T00:00:00"/>
    <s v="Efectivo"/>
    <n v="734.76239999999996"/>
    <n v="734.76239999999996"/>
    <n v="0"/>
    <s v="Pag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6EDF2-63A9-4E39-9EB3-2EA5DA5A988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Monto por proveedor">
  <location ref="A19:B30" firstHeaderRow="1" firstDataRow="1" firstDataCol="1"/>
  <pivotFields count="13">
    <pivotField numFmtId="164" showAll="0"/>
    <pivotField axis="axisRow" showAll="0" sortType="descending">
      <items count="11">
        <item x="7"/>
        <item x="5"/>
        <item x="0"/>
        <item x="4"/>
        <item x="2"/>
        <item x="1"/>
        <item x="6"/>
        <item x="3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52">
        <item x="35"/>
        <item x="25"/>
        <item x="44"/>
        <item x="17"/>
        <item x="15"/>
        <item x="37"/>
        <item x="49"/>
        <item x="41"/>
        <item x="12"/>
        <item x="13"/>
        <item x="8"/>
        <item x="20"/>
        <item x="39"/>
        <item x="18"/>
        <item x="43"/>
        <item x="31"/>
        <item x="24"/>
        <item x="21"/>
        <item x="23"/>
        <item x="27"/>
        <item x="45"/>
        <item x="5"/>
        <item x="1"/>
        <item x="47"/>
        <item x="6"/>
        <item x="22"/>
        <item x="28"/>
        <item x="46"/>
        <item x="3"/>
        <item x="26"/>
        <item x="36"/>
        <item x="19"/>
        <item x="2"/>
        <item x="16"/>
        <item x="10"/>
        <item x="29"/>
        <item x="42"/>
        <item x="30"/>
        <item x="4"/>
        <item x="50"/>
        <item x="40"/>
        <item x="7"/>
        <item x="38"/>
        <item x="9"/>
        <item x="14"/>
        <item x="48"/>
        <item x="0"/>
        <item x="11"/>
        <item x="32"/>
        <item x="33"/>
        <item x="3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 v="7"/>
    </i>
    <i>
      <x v="6"/>
    </i>
    <i>
      <x v="2"/>
    </i>
    <i>
      <x v="8"/>
    </i>
    <i>
      <x v="4"/>
    </i>
    <i>
      <x v="1"/>
    </i>
    <i>
      <x v="3"/>
    </i>
    <i>
      <x v="9"/>
    </i>
    <i>
      <x v="5"/>
    </i>
    <i>
      <x/>
    </i>
    <i t="grand">
      <x/>
    </i>
  </rowItems>
  <colItems count="1">
    <i/>
  </colItems>
  <dataFields count="1">
    <dataField name="Total de proveedor" fld="5" baseField="1" baseItem="0"/>
  </dataFields>
  <formats count="1">
    <format dxfId="5">
      <pivotArea collapsedLevelsAreSubtotals="1" fieldPosition="0">
        <references count="1">
          <reference field="1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BB0A1-87E7-4BDB-90D4-6ACF82ADBFF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Estado de Facturas">
  <location ref="A12:B15" firstHeaderRow="1" firstDataRow="1" firstDataCol="1"/>
  <pivotFields count="13">
    <pivotField numFmtId="164" showAll="0"/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>
      <items count="52">
        <item x="35"/>
        <item x="25"/>
        <item x="44"/>
        <item x="17"/>
        <item x="15"/>
        <item x="37"/>
        <item x="49"/>
        <item x="41"/>
        <item x="12"/>
        <item x="13"/>
        <item x="8"/>
        <item x="20"/>
        <item x="39"/>
        <item x="18"/>
        <item x="43"/>
        <item x="31"/>
        <item x="24"/>
        <item x="21"/>
        <item x="23"/>
        <item x="27"/>
        <item x="45"/>
        <item x="5"/>
        <item x="1"/>
        <item x="47"/>
        <item x="6"/>
        <item x="22"/>
        <item x="28"/>
        <item x="46"/>
        <item x="3"/>
        <item x="26"/>
        <item x="36"/>
        <item x="19"/>
        <item x="2"/>
        <item x="16"/>
        <item x="10"/>
        <item x="29"/>
        <item x="42"/>
        <item x="30"/>
        <item x="4"/>
        <item x="50"/>
        <item x="40"/>
        <item x="7"/>
        <item x="38"/>
        <item x="9"/>
        <item x="14"/>
        <item x="48"/>
        <item x="0"/>
        <item x="11"/>
        <item x="32"/>
        <item x="33"/>
        <item x="3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Facturas" fld="2" subtotal="count" baseField="6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9FA72-E51E-41E4-AEF0-D884F1D65D1C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2:C43" firstHeaderRow="1" firstDataRow="1" firstDataCol="0"/>
  <pivotFields count="7">
    <pivotField showAll="0"/>
    <pivotField numFmtId="164"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Pagos" fld="3" baseField="0" baseItem="0" numFmtId="166"/>
  </dataFields>
  <formats count="3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56C60-4B78-4B9D-A792-A67B10067B38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42:A43" firstHeaderRow="1" firstDataRow="1" firstDataCol="0"/>
  <pivotFields count="13"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52">
        <item x="35"/>
        <item x="25"/>
        <item x="44"/>
        <item x="17"/>
        <item x="15"/>
        <item x="37"/>
        <item x="49"/>
        <item x="41"/>
        <item x="12"/>
        <item x="13"/>
        <item x="8"/>
        <item x="20"/>
        <item x="39"/>
        <item x="18"/>
        <item x="43"/>
        <item x="31"/>
        <item x="24"/>
        <item x="21"/>
        <item x="23"/>
        <item x="27"/>
        <item x="45"/>
        <item x="5"/>
        <item x="1"/>
        <item x="47"/>
        <item x="6"/>
        <item x="22"/>
        <item x="28"/>
        <item x="46"/>
        <item x="3"/>
        <item x="26"/>
        <item x="36"/>
        <item x="19"/>
        <item x="2"/>
        <item x="16"/>
        <item x="10"/>
        <item x="29"/>
        <item x="42"/>
        <item x="30"/>
        <item x="4"/>
        <item x="50"/>
        <item x="40"/>
        <item x="7"/>
        <item x="38"/>
        <item x="9"/>
        <item x="14"/>
        <item x="48"/>
        <item x="0"/>
        <item x="11"/>
        <item x="32"/>
        <item x="33"/>
        <item x="34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Facturas" fld="5" baseField="0" baseItem="0" numFmtId="166"/>
  </dataFields>
  <formats count="3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43C5A-6DD2-47C9-93E4-C599C5CB2023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6:B39" firstHeaderRow="1" firstDataRow="1" firstDataCol="1" rowPageCount="1" colPageCount="1"/>
  <pivotFields count="13"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numFmtId="14" showAll="0">
      <items count="52">
        <item x="35"/>
        <item x="25"/>
        <item x="44"/>
        <item x="17"/>
        <item x="15"/>
        <item x="37"/>
        <item x="49"/>
        <item x="41"/>
        <item x="12"/>
        <item x="13"/>
        <item x="8"/>
        <item x="20"/>
        <item x="39"/>
        <item x="18"/>
        <item x="43"/>
        <item x="31"/>
        <item x="24"/>
        <item x="21"/>
        <item x="23"/>
        <item x="27"/>
        <item x="45"/>
        <item x="5"/>
        <item x="1"/>
        <item x="47"/>
        <item x="6"/>
        <item x="22"/>
        <item x="28"/>
        <item x="46"/>
        <item x="3"/>
        <item x="26"/>
        <item x="36"/>
        <item x="19"/>
        <item x="2"/>
        <item x="16"/>
        <item x="10"/>
        <item x="29"/>
        <item x="42"/>
        <item x="30"/>
        <item x="4"/>
        <item x="50"/>
        <item x="40"/>
        <item x="7"/>
        <item x="38"/>
        <item x="9"/>
        <item x="14"/>
        <item x="48"/>
        <item x="0"/>
        <item x="11"/>
        <item x="32"/>
        <item x="33"/>
        <item x="3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2"/>
    <field x="10"/>
  </rowFields>
  <rowItems count="3">
    <i>
      <x v="1"/>
    </i>
    <i>
      <x v="2"/>
    </i>
    <i t="grand">
      <x/>
    </i>
  </rowItems>
  <colItems count="1">
    <i/>
  </colItems>
  <pageFields count="1">
    <pageField fld="9" hier="-1"/>
  </pageFields>
  <dataFields count="1">
    <dataField name="Cuenta de NumFactur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Prov" displayName="tbProv" ref="A1:D11">
  <autoFilter ref="A1:D11" xr:uid="{00000000-0009-0000-0100-000001000000}"/>
  <tableColumns count="4">
    <tableColumn id="1" xr3:uid="{00000000-0010-0000-0000-000001000000}" name="Proveedor"/>
    <tableColumn id="2" xr3:uid="{00000000-0010-0000-0000-000002000000}" name="RUC"/>
    <tableColumn id="3" xr3:uid="{00000000-0010-0000-0000-000003000000}" name="%Detracción"/>
    <tableColumn id="4" xr3:uid="{00000000-0010-0000-0000-000004000000}" name="DíasPag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Facturas" displayName="tbFacturas" ref="A1:J91">
  <autoFilter ref="A1:J91" xr:uid="{00000000-0009-0000-0100-000002000000}"/>
  <tableColumns count="10">
    <tableColumn id="1" xr3:uid="{00000000-0010-0000-0100-000001000000}" name="FechaEmisión"/>
    <tableColumn id="2" xr3:uid="{00000000-0010-0000-0100-000002000000}" name="Proveedor"/>
    <tableColumn id="3" xr3:uid="{00000000-0010-0000-0100-000003000000}" name="NumFactura"/>
    <tableColumn id="4" xr3:uid="{00000000-0010-0000-0100-000004000000}" name="Base"/>
    <tableColumn id="5" xr3:uid="{00000000-0010-0000-0100-000005000000}" name="IGV"/>
    <tableColumn id="6" xr3:uid="{00000000-0010-0000-0100-000006000000}" name="Total"/>
    <tableColumn id="7" xr3:uid="{00000000-0010-0000-0100-000007000000}" name="¿Detracción?"/>
    <tableColumn id="8" xr3:uid="{00000000-0010-0000-0100-000008000000}" name="%Detracción"/>
    <tableColumn id="9" xr3:uid="{00000000-0010-0000-0100-000009000000}" name="MontoDetracción"/>
    <tableColumn id="10" xr3:uid="{00000000-0010-0000-0100-00000A000000}" name="FechaVencimiento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Pagos" displayName="tbPagos" ref="A1:G41">
  <autoFilter ref="A1:G41" xr:uid="{00000000-0009-0000-0100-000003000000}"/>
  <tableColumns count="7">
    <tableColumn id="1" xr3:uid="{00000000-0010-0000-0200-000001000000}" name="NumFactura"/>
    <tableColumn id="2" xr3:uid="{00000000-0010-0000-0200-000002000000}" name="FechaPago"/>
    <tableColumn id="3" xr3:uid="{00000000-0010-0000-0200-000003000000}" name="MedioPago"/>
    <tableColumn id="4" xr3:uid="{00000000-0010-0000-0200-000004000000}" name="MontoPagado"/>
    <tableColumn id="5" xr3:uid="{00000000-0010-0000-0200-000005000000}" name="TotalFactura"/>
    <tableColumn id="6" xr3:uid="{00000000-0010-0000-0200-000006000000}" name="Saldo"/>
    <tableColumn id="7" xr3:uid="{00000000-0010-0000-0200-000007000000}" name="EstadoPag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Banco" displayName="tbBanco" ref="A1:D46">
  <autoFilter ref="A1:D46" xr:uid="{00000000-0009-0000-0100-000004000000}"/>
  <tableColumns count="4">
    <tableColumn id="1" xr3:uid="{00000000-0010-0000-0300-000001000000}" name="Fecha"/>
    <tableColumn id="2" xr3:uid="{00000000-0010-0000-0300-000002000000}" name="Descripción"/>
    <tableColumn id="3" xr3:uid="{00000000-0010-0000-0300-000003000000}" name="Cargo"/>
    <tableColumn id="4" xr3:uid="{00000000-0010-0000-0300-000004000000}" name="Abon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Conci" displayName="tbConci" ref="A1:F46">
  <autoFilter ref="A1:F46" xr:uid="{00000000-0009-0000-0100-000005000000}"/>
  <tableColumns count="6">
    <tableColumn id="1" xr3:uid="{00000000-0010-0000-0400-000001000000}" name="FechaBanco"/>
    <tableColumn id="2" xr3:uid="{00000000-0010-0000-0400-000002000000}" name="DescripciónBanco"/>
    <tableColumn id="3" xr3:uid="{00000000-0010-0000-0400-000003000000}" name="Cargo"/>
    <tableColumn id="4" xr3:uid="{00000000-0010-0000-0400-000004000000}" name="MatchPago"/>
    <tableColumn id="5" xr3:uid="{00000000-0010-0000-0400-000005000000}" name="NumFactura"/>
    <tableColumn id="6" xr3:uid="{00000000-0010-0000-0400-000006000000}" name="Observació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173899-67E8-4EC7-9CD0-94CA8C18DF67}" name="Tabla7" displayName="Tabla7" ref="A46:B48" totalsRowShown="0" headerRowDxfId="4" dataDxfId="3">
  <autoFilter ref="A46:B48" xr:uid="{5B173899-67E8-4EC7-9CD0-94CA8C18DF67}"/>
  <tableColumns count="2">
    <tableColumn id="1" xr3:uid="{69E5605D-1F45-4872-A9C9-F09B12D397F4}" name="Concepto" dataDxfId="2"/>
    <tableColumn id="2" xr3:uid="{89CC4CC3-7649-4802-A8E1-C9921F94C2C5}" name="Monto" dataDxfId="1" dataCellStyle="Moneda">
      <calculatedColumnFormula>+GETPIVOTDATA("MontoPagado",$C$42)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8671875" defaultRowHeight="14.4" x14ac:dyDescent="0.3"/>
  <cols>
    <col min="1" max="1" width="38" customWidth="1"/>
    <col min="2" max="2" width="14" customWidth="1"/>
    <col min="3" max="3" width="12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0.1</v>
      </c>
      <c r="D2">
        <v>30</v>
      </c>
    </row>
    <row r="3" spans="1:4" x14ac:dyDescent="0.3">
      <c r="A3" t="s">
        <v>6</v>
      </c>
      <c r="B3" t="s">
        <v>7</v>
      </c>
      <c r="C3">
        <v>0.12</v>
      </c>
      <c r="D3">
        <v>45</v>
      </c>
    </row>
    <row r="4" spans="1:4" x14ac:dyDescent="0.3">
      <c r="A4" t="s">
        <v>8</v>
      </c>
      <c r="B4" t="s">
        <v>9</v>
      </c>
      <c r="C4">
        <v>0</v>
      </c>
      <c r="D4">
        <v>30</v>
      </c>
    </row>
    <row r="5" spans="1:4" x14ac:dyDescent="0.3">
      <c r="A5" t="s">
        <v>10</v>
      </c>
      <c r="B5" t="s">
        <v>11</v>
      </c>
      <c r="C5">
        <v>0.1</v>
      </c>
      <c r="D5">
        <v>30</v>
      </c>
    </row>
    <row r="6" spans="1:4" x14ac:dyDescent="0.3">
      <c r="A6" t="s">
        <v>12</v>
      </c>
      <c r="B6" t="s">
        <v>13</v>
      </c>
      <c r="C6">
        <v>0.12</v>
      </c>
      <c r="D6">
        <v>15</v>
      </c>
    </row>
    <row r="7" spans="1:4" x14ac:dyDescent="0.3">
      <c r="A7" t="s">
        <v>14</v>
      </c>
      <c r="B7" t="s">
        <v>15</v>
      </c>
      <c r="C7">
        <v>0</v>
      </c>
      <c r="D7">
        <v>30</v>
      </c>
    </row>
    <row r="8" spans="1:4" x14ac:dyDescent="0.3">
      <c r="A8" t="s">
        <v>16</v>
      </c>
      <c r="B8" t="s">
        <v>17</v>
      </c>
      <c r="C8">
        <v>0.04</v>
      </c>
      <c r="D8">
        <v>30</v>
      </c>
    </row>
    <row r="9" spans="1:4" x14ac:dyDescent="0.3">
      <c r="A9" t="s">
        <v>18</v>
      </c>
      <c r="B9" t="s">
        <v>19</v>
      </c>
      <c r="C9">
        <v>0.04</v>
      </c>
      <c r="D9">
        <v>15</v>
      </c>
    </row>
    <row r="10" spans="1:4" x14ac:dyDescent="0.3">
      <c r="A10" t="s">
        <v>20</v>
      </c>
      <c r="B10" t="s">
        <v>21</v>
      </c>
      <c r="C10">
        <v>0</v>
      </c>
      <c r="D10">
        <v>30</v>
      </c>
    </row>
    <row r="11" spans="1:4" x14ac:dyDescent="0.3">
      <c r="A11" t="s">
        <v>22</v>
      </c>
      <c r="B11" t="s">
        <v>23</v>
      </c>
      <c r="C11">
        <v>0.12</v>
      </c>
      <c r="D11">
        <v>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workbookViewId="0">
      <pane ySplit="1" topLeftCell="A47" activePane="bottomLeft" state="frozen"/>
      <selection pane="bottomLeft" activeCell="B34" sqref="B34"/>
    </sheetView>
  </sheetViews>
  <sheetFormatPr baseColWidth="10" defaultColWidth="8.88671875" defaultRowHeight="14.4" x14ac:dyDescent="0.3"/>
  <cols>
    <col min="1" max="1" width="14" customWidth="1"/>
    <col min="2" max="2" width="38" customWidth="1"/>
    <col min="3" max="3" width="14" customWidth="1"/>
    <col min="4" max="6" width="10" customWidth="1"/>
    <col min="7" max="8" width="12" customWidth="1"/>
    <col min="9" max="9" width="14" customWidth="1"/>
    <col min="10" max="10" width="16" style="8" customWidth="1"/>
  </cols>
  <sheetData>
    <row r="1" spans="1:10" x14ac:dyDescent="0.3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</v>
      </c>
      <c r="I1" s="1" t="s">
        <v>30</v>
      </c>
      <c r="J1" s="7" t="s">
        <v>31</v>
      </c>
    </row>
    <row r="2" spans="1:10" x14ac:dyDescent="0.3">
      <c r="A2" s="2">
        <v>46002</v>
      </c>
      <c r="B2" t="s">
        <v>6</v>
      </c>
      <c r="C2" t="s">
        <v>32</v>
      </c>
      <c r="D2">
        <v>2875.43</v>
      </c>
      <c r="E2">
        <f t="shared" ref="E2:E33" si="0">D2*0.18</f>
        <v>517.5773999999999</v>
      </c>
      <c r="F2">
        <f t="shared" ref="F2:F33" si="1">D2+E2</f>
        <v>3393.0073999999995</v>
      </c>
      <c r="G2" t="s">
        <v>33</v>
      </c>
      <c r="H2">
        <f>VLOOKUP(B2,Proveedores!$A$2:$D$11,3,FALSE)</f>
        <v>0.12</v>
      </c>
      <c r="I2">
        <f t="shared" ref="I2:I33" si="2">IF(G2="SI",F2*H2,0)</f>
        <v>407.16088799999994</v>
      </c>
      <c r="J2" s="8">
        <f>A2+VLOOKUP(B2,Proveedores!$A$2:$D$11,4,FALSE)</f>
        <v>46047</v>
      </c>
    </row>
    <row r="3" spans="1:10" x14ac:dyDescent="0.3">
      <c r="A3" s="2">
        <v>45970</v>
      </c>
      <c r="B3" t="s">
        <v>6</v>
      </c>
      <c r="C3" t="s">
        <v>34</v>
      </c>
      <c r="D3">
        <v>2872.34</v>
      </c>
      <c r="E3">
        <f t="shared" si="0"/>
        <v>517.02120000000002</v>
      </c>
      <c r="F3">
        <f t="shared" si="1"/>
        <v>3389.3612000000003</v>
      </c>
      <c r="G3" t="s">
        <v>33</v>
      </c>
      <c r="H3">
        <f>VLOOKUP(B3,Proveedores!$A$2:$D$11,3,FALSE)</f>
        <v>0.12</v>
      </c>
      <c r="I3">
        <f t="shared" si="2"/>
        <v>406.723344</v>
      </c>
      <c r="J3" s="8">
        <f>A3+VLOOKUP(B3,Proveedores!$A$2:$D$11,4,FALSE)</f>
        <v>46015</v>
      </c>
    </row>
    <row r="4" spans="1:10" x14ac:dyDescent="0.3">
      <c r="A4" s="2">
        <v>45999</v>
      </c>
      <c r="B4" t="s">
        <v>16</v>
      </c>
      <c r="C4" t="s">
        <v>35</v>
      </c>
      <c r="D4">
        <v>384.29</v>
      </c>
      <c r="E4">
        <f t="shared" si="0"/>
        <v>69.172200000000004</v>
      </c>
      <c r="F4">
        <f t="shared" si="1"/>
        <v>453.46220000000005</v>
      </c>
      <c r="G4" t="s">
        <v>33</v>
      </c>
      <c r="H4">
        <f>VLOOKUP(B4,Proveedores!$A$2:$D$11,3,FALSE)</f>
        <v>0.04</v>
      </c>
      <c r="I4">
        <f t="shared" si="2"/>
        <v>18.138488000000002</v>
      </c>
      <c r="J4" s="8">
        <f>A4+VLOOKUP(B4,Proveedores!$A$2:$D$11,4,FALSE)</f>
        <v>46029</v>
      </c>
    </row>
    <row r="5" spans="1:10" x14ac:dyDescent="0.3">
      <c r="A5" s="2">
        <v>45994</v>
      </c>
      <c r="B5" t="s">
        <v>22</v>
      </c>
      <c r="C5" t="s">
        <v>36</v>
      </c>
      <c r="D5">
        <v>2244.36</v>
      </c>
      <c r="E5">
        <f t="shared" si="0"/>
        <v>403.98480000000001</v>
      </c>
      <c r="F5">
        <f t="shared" si="1"/>
        <v>2648.3448000000003</v>
      </c>
      <c r="G5" t="s">
        <v>37</v>
      </c>
      <c r="H5">
        <f>VLOOKUP(B5,Proveedores!$A$2:$D$11,3,FALSE)</f>
        <v>0.12</v>
      </c>
      <c r="I5">
        <f t="shared" si="2"/>
        <v>0</v>
      </c>
      <c r="J5" s="8">
        <f>A5+VLOOKUP(B5,Proveedores!$A$2:$D$11,4,FALSE)</f>
        <v>46024</v>
      </c>
    </row>
    <row r="6" spans="1:10" x14ac:dyDescent="0.3">
      <c r="A6" s="2">
        <v>46006</v>
      </c>
      <c r="B6" t="s">
        <v>20</v>
      </c>
      <c r="C6" t="s">
        <v>38</v>
      </c>
      <c r="D6">
        <v>1051.54</v>
      </c>
      <c r="E6">
        <f t="shared" si="0"/>
        <v>189.27719999999999</v>
      </c>
      <c r="F6">
        <f t="shared" si="1"/>
        <v>1240.8172</v>
      </c>
      <c r="G6" t="s">
        <v>37</v>
      </c>
      <c r="H6">
        <f>VLOOKUP(B6,Proveedores!$A$2:$D$11,3,FALSE)</f>
        <v>0</v>
      </c>
      <c r="I6">
        <f t="shared" si="2"/>
        <v>0</v>
      </c>
      <c r="J6" s="8">
        <f>A6+VLOOKUP(B6,Proveedores!$A$2:$D$11,4,FALSE)</f>
        <v>46036</v>
      </c>
    </row>
    <row r="7" spans="1:10" x14ac:dyDescent="0.3">
      <c r="A7" s="2">
        <v>45999</v>
      </c>
      <c r="B7" t="s">
        <v>12</v>
      </c>
      <c r="C7" t="s">
        <v>39</v>
      </c>
      <c r="D7">
        <v>2935.83</v>
      </c>
      <c r="E7">
        <f t="shared" si="0"/>
        <v>528.44939999999997</v>
      </c>
      <c r="F7">
        <f t="shared" si="1"/>
        <v>3464.2793999999999</v>
      </c>
      <c r="G7" t="s">
        <v>33</v>
      </c>
      <c r="H7">
        <f>VLOOKUP(B7,Proveedores!$A$2:$D$11,3,FALSE)</f>
        <v>0.12</v>
      </c>
      <c r="I7">
        <f t="shared" si="2"/>
        <v>415.713528</v>
      </c>
      <c r="J7" s="8">
        <f>A7+VLOOKUP(B7,Proveedores!$A$2:$D$11,4,FALSE)</f>
        <v>46014</v>
      </c>
    </row>
    <row r="8" spans="1:10" x14ac:dyDescent="0.3">
      <c r="A8" s="2">
        <v>45989</v>
      </c>
      <c r="B8" t="s">
        <v>14</v>
      </c>
      <c r="C8" t="s">
        <v>40</v>
      </c>
      <c r="D8">
        <v>824.18</v>
      </c>
      <c r="E8">
        <f t="shared" si="0"/>
        <v>148.35239999999999</v>
      </c>
      <c r="F8">
        <f t="shared" si="1"/>
        <v>972.53239999999994</v>
      </c>
      <c r="G8" t="s">
        <v>37</v>
      </c>
      <c r="H8">
        <f>VLOOKUP(B8,Proveedores!$A$2:$D$11,3,FALSE)</f>
        <v>0</v>
      </c>
      <c r="I8">
        <f t="shared" si="2"/>
        <v>0</v>
      </c>
      <c r="J8" s="8">
        <f>A8+VLOOKUP(B8,Proveedores!$A$2:$D$11,4,FALSE)</f>
        <v>46019</v>
      </c>
    </row>
    <row r="9" spans="1:10" x14ac:dyDescent="0.3">
      <c r="A9" s="2">
        <v>46010</v>
      </c>
      <c r="B9" t="s">
        <v>14</v>
      </c>
      <c r="C9" t="s">
        <v>41</v>
      </c>
      <c r="D9">
        <v>604.61</v>
      </c>
      <c r="E9">
        <f t="shared" si="0"/>
        <v>108.82979999999999</v>
      </c>
      <c r="F9">
        <f t="shared" si="1"/>
        <v>713.43979999999999</v>
      </c>
      <c r="G9" t="s">
        <v>37</v>
      </c>
      <c r="H9">
        <f>VLOOKUP(B9,Proveedores!$A$2:$D$11,3,FALSE)</f>
        <v>0</v>
      </c>
      <c r="I9">
        <f t="shared" si="2"/>
        <v>0</v>
      </c>
      <c r="J9" s="8">
        <f>A9+VLOOKUP(B9,Proveedores!$A$2:$D$11,4,FALSE)</f>
        <v>46040</v>
      </c>
    </row>
    <row r="10" spans="1:10" x14ac:dyDescent="0.3">
      <c r="A10" s="2">
        <v>45968</v>
      </c>
      <c r="B10" t="s">
        <v>14</v>
      </c>
      <c r="C10" t="s">
        <v>42</v>
      </c>
      <c r="D10">
        <v>2393.04</v>
      </c>
      <c r="E10">
        <f t="shared" si="0"/>
        <v>430.74719999999996</v>
      </c>
      <c r="F10">
        <f t="shared" si="1"/>
        <v>2823.7871999999998</v>
      </c>
      <c r="G10" t="s">
        <v>37</v>
      </c>
      <c r="H10">
        <f>VLOOKUP(B10,Proveedores!$A$2:$D$11,3,FALSE)</f>
        <v>0</v>
      </c>
      <c r="I10">
        <f t="shared" si="2"/>
        <v>0</v>
      </c>
      <c r="J10" s="8">
        <f>A10+VLOOKUP(B10,Proveedores!$A$2:$D$11,4,FALSE)</f>
        <v>45998</v>
      </c>
    </row>
    <row r="11" spans="1:10" x14ac:dyDescent="0.3">
      <c r="A11" s="2">
        <v>46013</v>
      </c>
      <c r="B11" t="s">
        <v>4</v>
      </c>
      <c r="C11" t="s">
        <v>43</v>
      </c>
      <c r="D11">
        <v>1887.99</v>
      </c>
      <c r="E11">
        <f t="shared" si="0"/>
        <v>339.83819999999997</v>
      </c>
      <c r="F11">
        <f t="shared" si="1"/>
        <v>2227.8281999999999</v>
      </c>
      <c r="G11" t="s">
        <v>33</v>
      </c>
      <c r="H11">
        <f>VLOOKUP(B11,Proveedores!$A$2:$D$11,3,FALSE)</f>
        <v>0.1</v>
      </c>
      <c r="I11">
        <f t="shared" si="2"/>
        <v>222.78282000000002</v>
      </c>
      <c r="J11" s="8">
        <f>A11+VLOOKUP(B11,Proveedores!$A$2:$D$11,4,FALSE)</f>
        <v>46043</v>
      </c>
    </row>
    <row r="12" spans="1:10" x14ac:dyDescent="0.3">
      <c r="A12" s="2">
        <v>45986</v>
      </c>
      <c r="B12" t="s">
        <v>6</v>
      </c>
      <c r="C12" t="s">
        <v>44</v>
      </c>
      <c r="D12">
        <v>1306.1199999999999</v>
      </c>
      <c r="E12">
        <f t="shared" si="0"/>
        <v>235.10159999999996</v>
      </c>
      <c r="F12">
        <f t="shared" si="1"/>
        <v>1541.2215999999999</v>
      </c>
      <c r="G12" t="s">
        <v>33</v>
      </c>
      <c r="H12">
        <f>VLOOKUP(B12,Proveedores!$A$2:$D$11,3,FALSE)</f>
        <v>0.12</v>
      </c>
      <c r="I12">
        <f t="shared" si="2"/>
        <v>184.94659199999998</v>
      </c>
      <c r="J12" s="8">
        <f>A12+VLOOKUP(B12,Proveedores!$A$2:$D$11,4,FALSE)</f>
        <v>46031</v>
      </c>
    </row>
    <row r="13" spans="1:10" x14ac:dyDescent="0.3">
      <c r="A13" s="2">
        <v>46018</v>
      </c>
      <c r="B13" t="s">
        <v>14</v>
      </c>
      <c r="C13" t="s">
        <v>45</v>
      </c>
      <c r="D13">
        <v>953.01</v>
      </c>
      <c r="E13">
        <f t="shared" si="0"/>
        <v>171.54179999999999</v>
      </c>
      <c r="F13">
        <f t="shared" si="1"/>
        <v>1124.5518</v>
      </c>
      <c r="G13" t="s">
        <v>37</v>
      </c>
      <c r="H13">
        <f>VLOOKUP(B13,Proveedores!$A$2:$D$11,3,FALSE)</f>
        <v>0</v>
      </c>
      <c r="I13">
        <f t="shared" si="2"/>
        <v>0</v>
      </c>
      <c r="J13" s="8">
        <f>A13+VLOOKUP(B13,Proveedores!$A$2:$D$11,4,FALSE)</f>
        <v>46048</v>
      </c>
    </row>
    <row r="14" spans="1:10" x14ac:dyDescent="0.3">
      <c r="A14" s="2">
        <v>45966</v>
      </c>
      <c r="B14" t="s">
        <v>4</v>
      </c>
      <c r="C14" t="s">
        <v>46</v>
      </c>
      <c r="D14">
        <v>1077.6400000000001</v>
      </c>
      <c r="E14">
        <f t="shared" si="0"/>
        <v>193.9752</v>
      </c>
      <c r="F14">
        <f t="shared" si="1"/>
        <v>1271.6152000000002</v>
      </c>
      <c r="G14" t="s">
        <v>33</v>
      </c>
      <c r="H14">
        <f>VLOOKUP(B14,Proveedores!$A$2:$D$11,3,FALSE)</f>
        <v>0.1</v>
      </c>
      <c r="I14">
        <f t="shared" si="2"/>
        <v>127.16152000000002</v>
      </c>
      <c r="J14" s="8">
        <f>A14+VLOOKUP(B14,Proveedores!$A$2:$D$11,4,FALSE)</f>
        <v>45996</v>
      </c>
    </row>
    <row r="15" spans="1:10" x14ac:dyDescent="0.3">
      <c r="A15" s="2">
        <v>45967</v>
      </c>
      <c r="B15" t="s">
        <v>10</v>
      </c>
      <c r="C15" t="s">
        <v>47</v>
      </c>
      <c r="D15">
        <v>1610.44</v>
      </c>
      <c r="E15">
        <f t="shared" si="0"/>
        <v>289.87920000000003</v>
      </c>
      <c r="F15">
        <f t="shared" si="1"/>
        <v>1900.3192000000001</v>
      </c>
      <c r="G15" t="s">
        <v>33</v>
      </c>
      <c r="H15">
        <f>VLOOKUP(B15,Proveedores!$A$2:$D$11,3,FALSE)</f>
        <v>0.1</v>
      </c>
      <c r="I15">
        <f t="shared" si="2"/>
        <v>190.03192000000001</v>
      </c>
      <c r="J15" s="8">
        <f>A15+VLOOKUP(B15,Proveedores!$A$2:$D$11,4,FALSE)</f>
        <v>45997</v>
      </c>
    </row>
    <row r="16" spans="1:10" x14ac:dyDescent="0.3">
      <c r="A16" s="2">
        <v>46015</v>
      </c>
      <c r="B16" t="s">
        <v>14</v>
      </c>
      <c r="C16" t="s">
        <v>48</v>
      </c>
      <c r="D16">
        <v>1575.63</v>
      </c>
      <c r="E16">
        <f t="shared" si="0"/>
        <v>283.61340000000001</v>
      </c>
      <c r="F16">
        <f t="shared" si="1"/>
        <v>1859.2434000000001</v>
      </c>
      <c r="G16" t="s">
        <v>37</v>
      </c>
      <c r="H16">
        <f>VLOOKUP(B16,Proveedores!$A$2:$D$11,3,FALSE)</f>
        <v>0</v>
      </c>
      <c r="I16">
        <f t="shared" si="2"/>
        <v>0</v>
      </c>
      <c r="J16" s="8">
        <f>A16+VLOOKUP(B16,Proveedores!$A$2:$D$11,4,FALSE)</f>
        <v>46045</v>
      </c>
    </row>
    <row r="17" spans="1:10" x14ac:dyDescent="0.3">
      <c r="A17" s="2">
        <v>45975</v>
      </c>
      <c r="B17" t="s">
        <v>12</v>
      </c>
      <c r="C17" t="s">
        <v>49</v>
      </c>
      <c r="D17">
        <v>3558.29</v>
      </c>
      <c r="E17">
        <f t="shared" si="0"/>
        <v>640.49220000000003</v>
      </c>
      <c r="F17">
        <f t="shared" si="1"/>
        <v>4198.7821999999996</v>
      </c>
      <c r="G17" t="s">
        <v>33</v>
      </c>
      <c r="H17">
        <f>VLOOKUP(B17,Proveedores!$A$2:$D$11,3,FALSE)</f>
        <v>0.12</v>
      </c>
      <c r="I17">
        <f t="shared" si="2"/>
        <v>503.85386399999993</v>
      </c>
      <c r="J17" s="8">
        <f>A17+VLOOKUP(B17,Proveedores!$A$2:$D$11,4,FALSE)</f>
        <v>45990</v>
      </c>
    </row>
    <row r="18" spans="1:10" x14ac:dyDescent="0.3">
      <c r="A18" s="2">
        <v>46000</v>
      </c>
      <c r="B18" t="s">
        <v>8</v>
      </c>
      <c r="C18" t="s">
        <v>50</v>
      </c>
      <c r="D18">
        <v>2831.94</v>
      </c>
      <c r="E18">
        <f t="shared" si="0"/>
        <v>509.74919999999997</v>
      </c>
      <c r="F18">
        <f t="shared" si="1"/>
        <v>3341.6891999999998</v>
      </c>
      <c r="G18" t="s">
        <v>37</v>
      </c>
      <c r="H18">
        <f>VLOOKUP(B18,Proveedores!$A$2:$D$11,3,FALSE)</f>
        <v>0</v>
      </c>
      <c r="I18">
        <f t="shared" si="2"/>
        <v>0</v>
      </c>
      <c r="J18" s="8">
        <f>A18+VLOOKUP(B18,Proveedores!$A$2:$D$11,4,FALSE)</f>
        <v>46030</v>
      </c>
    </row>
    <row r="19" spans="1:10" x14ac:dyDescent="0.3">
      <c r="A19" s="2">
        <v>45972</v>
      </c>
      <c r="B19" t="s">
        <v>18</v>
      </c>
      <c r="C19" t="s">
        <v>51</v>
      </c>
      <c r="D19">
        <v>1224.82</v>
      </c>
      <c r="E19">
        <f t="shared" si="0"/>
        <v>220.46759999999998</v>
      </c>
      <c r="F19">
        <f t="shared" si="1"/>
        <v>1445.2875999999999</v>
      </c>
      <c r="G19" t="s">
        <v>37</v>
      </c>
      <c r="H19">
        <f>VLOOKUP(B19,Proveedores!$A$2:$D$11,3,FALSE)</f>
        <v>0.04</v>
      </c>
      <c r="I19">
        <f t="shared" si="2"/>
        <v>0</v>
      </c>
      <c r="J19" s="8">
        <f>A19+VLOOKUP(B19,Proveedores!$A$2:$D$11,4,FALSE)</f>
        <v>45987</v>
      </c>
    </row>
    <row r="20" spans="1:10" x14ac:dyDescent="0.3">
      <c r="A20" s="2">
        <v>46006</v>
      </c>
      <c r="B20" t="s">
        <v>20</v>
      </c>
      <c r="C20" t="s">
        <v>52</v>
      </c>
      <c r="D20">
        <v>2676.15</v>
      </c>
      <c r="E20">
        <f t="shared" si="0"/>
        <v>481.70699999999999</v>
      </c>
      <c r="F20">
        <f t="shared" si="1"/>
        <v>3157.857</v>
      </c>
      <c r="G20" t="s">
        <v>37</v>
      </c>
      <c r="H20">
        <f>VLOOKUP(B20,Proveedores!$A$2:$D$11,3,FALSE)</f>
        <v>0</v>
      </c>
      <c r="I20">
        <f t="shared" si="2"/>
        <v>0</v>
      </c>
      <c r="J20" s="8">
        <f>A20+VLOOKUP(B20,Proveedores!$A$2:$D$11,4,FALSE)</f>
        <v>46036</v>
      </c>
    </row>
    <row r="21" spans="1:10" x14ac:dyDescent="0.3">
      <c r="A21" s="2">
        <v>46015</v>
      </c>
      <c r="B21" t="s">
        <v>4</v>
      </c>
      <c r="C21" t="s">
        <v>53</v>
      </c>
      <c r="D21">
        <v>3156.31</v>
      </c>
      <c r="E21">
        <f t="shared" si="0"/>
        <v>568.13580000000002</v>
      </c>
      <c r="F21">
        <f t="shared" si="1"/>
        <v>3724.4458</v>
      </c>
      <c r="G21" t="s">
        <v>37</v>
      </c>
      <c r="H21">
        <f>VLOOKUP(B21,Proveedores!$A$2:$D$11,3,FALSE)</f>
        <v>0.1</v>
      </c>
      <c r="I21">
        <f t="shared" si="2"/>
        <v>0</v>
      </c>
      <c r="J21" s="8">
        <f>A21+VLOOKUP(B21,Proveedores!$A$2:$D$11,4,FALSE)</f>
        <v>46045</v>
      </c>
    </row>
    <row r="22" spans="1:10" x14ac:dyDescent="0.3">
      <c r="A22" s="2">
        <v>45987</v>
      </c>
      <c r="B22" t="s">
        <v>12</v>
      </c>
      <c r="C22" t="s">
        <v>54</v>
      </c>
      <c r="D22">
        <v>1018.44</v>
      </c>
      <c r="E22">
        <f t="shared" si="0"/>
        <v>183.3192</v>
      </c>
      <c r="F22">
        <f t="shared" si="1"/>
        <v>1201.7592</v>
      </c>
      <c r="G22" t="s">
        <v>37</v>
      </c>
      <c r="H22">
        <f>VLOOKUP(B22,Proveedores!$A$2:$D$11,3,FALSE)</f>
        <v>0.12</v>
      </c>
      <c r="I22">
        <f t="shared" si="2"/>
        <v>0</v>
      </c>
      <c r="J22" s="8">
        <f>A22+VLOOKUP(B22,Proveedores!$A$2:$D$11,4,FALSE)</f>
        <v>46002</v>
      </c>
    </row>
    <row r="23" spans="1:10" x14ac:dyDescent="0.3">
      <c r="A23" s="2">
        <v>46018</v>
      </c>
      <c r="B23" t="s">
        <v>14</v>
      </c>
      <c r="C23" t="s">
        <v>55</v>
      </c>
      <c r="D23">
        <v>2574.04</v>
      </c>
      <c r="E23">
        <f t="shared" si="0"/>
        <v>463.32719999999995</v>
      </c>
      <c r="F23">
        <f t="shared" si="1"/>
        <v>3037.3671999999997</v>
      </c>
      <c r="G23" t="s">
        <v>37</v>
      </c>
      <c r="H23">
        <f>VLOOKUP(B23,Proveedores!$A$2:$D$11,3,FALSE)</f>
        <v>0</v>
      </c>
      <c r="I23">
        <f t="shared" si="2"/>
        <v>0</v>
      </c>
      <c r="J23" s="8">
        <f>A23+VLOOKUP(B23,Proveedores!$A$2:$D$11,4,FALSE)</f>
        <v>46048</v>
      </c>
    </row>
    <row r="24" spans="1:10" x14ac:dyDescent="0.3">
      <c r="A24" s="2">
        <v>45987</v>
      </c>
      <c r="B24" t="s">
        <v>18</v>
      </c>
      <c r="C24" t="s">
        <v>56</v>
      </c>
      <c r="D24">
        <v>1207.08</v>
      </c>
      <c r="E24">
        <f t="shared" si="0"/>
        <v>217.27439999999999</v>
      </c>
      <c r="F24">
        <f t="shared" si="1"/>
        <v>1424.3543999999999</v>
      </c>
      <c r="G24" t="s">
        <v>33</v>
      </c>
      <c r="H24">
        <f>VLOOKUP(B24,Proveedores!$A$2:$D$11,3,FALSE)</f>
        <v>0.04</v>
      </c>
      <c r="I24">
        <f t="shared" si="2"/>
        <v>56.974176</v>
      </c>
      <c r="J24" s="8">
        <f>A24+VLOOKUP(B24,Proveedores!$A$2:$D$11,4,FALSE)</f>
        <v>46002</v>
      </c>
    </row>
    <row r="25" spans="1:10" x14ac:dyDescent="0.3">
      <c r="A25" s="2">
        <v>45997</v>
      </c>
      <c r="B25" t="s">
        <v>20</v>
      </c>
      <c r="C25" t="s">
        <v>57</v>
      </c>
      <c r="D25">
        <v>2894.55</v>
      </c>
      <c r="E25">
        <f t="shared" si="0"/>
        <v>521.01900000000001</v>
      </c>
      <c r="F25">
        <f t="shared" si="1"/>
        <v>3415.5690000000004</v>
      </c>
      <c r="G25" t="s">
        <v>37</v>
      </c>
      <c r="H25">
        <f>VLOOKUP(B25,Proveedores!$A$2:$D$11,3,FALSE)</f>
        <v>0</v>
      </c>
      <c r="I25">
        <f t="shared" si="2"/>
        <v>0</v>
      </c>
      <c r="J25" s="8">
        <f>A25+VLOOKUP(B25,Proveedores!$A$2:$D$11,4,FALSE)</f>
        <v>46027</v>
      </c>
    </row>
    <row r="26" spans="1:10" x14ac:dyDescent="0.3">
      <c r="A26" s="2">
        <v>45989</v>
      </c>
      <c r="B26" t="s">
        <v>22</v>
      </c>
      <c r="C26" t="s">
        <v>58</v>
      </c>
      <c r="D26">
        <v>1546.99</v>
      </c>
      <c r="E26">
        <f t="shared" si="0"/>
        <v>278.45819999999998</v>
      </c>
      <c r="F26">
        <f t="shared" si="1"/>
        <v>1825.4482</v>
      </c>
      <c r="G26" t="s">
        <v>37</v>
      </c>
      <c r="H26">
        <f>VLOOKUP(B26,Proveedores!$A$2:$D$11,3,FALSE)</f>
        <v>0.12</v>
      </c>
      <c r="I26">
        <f t="shared" si="2"/>
        <v>0</v>
      </c>
      <c r="J26" s="8">
        <f>A26+VLOOKUP(B26,Proveedores!$A$2:$D$11,4,FALSE)</f>
        <v>46019</v>
      </c>
    </row>
    <row r="27" spans="1:10" x14ac:dyDescent="0.3">
      <c r="A27" s="2">
        <v>45970</v>
      </c>
      <c r="B27" t="s">
        <v>20</v>
      </c>
      <c r="C27" t="s">
        <v>59</v>
      </c>
      <c r="D27">
        <v>598.17999999999995</v>
      </c>
      <c r="E27">
        <f t="shared" si="0"/>
        <v>107.67239999999998</v>
      </c>
      <c r="F27">
        <f t="shared" si="1"/>
        <v>705.85239999999999</v>
      </c>
      <c r="G27" t="s">
        <v>37</v>
      </c>
      <c r="H27">
        <f>VLOOKUP(B27,Proveedores!$A$2:$D$11,3,FALSE)</f>
        <v>0</v>
      </c>
      <c r="I27">
        <f t="shared" si="2"/>
        <v>0</v>
      </c>
      <c r="J27" s="8">
        <f>A27+VLOOKUP(B27,Proveedores!$A$2:$D$11,4,FALSE)</f>
        <v>46000</v>
      </c>
    </row>
    <row r="28" spans="1:10" x14ac:dyDescent="0.3">
      <c r="A28" s="2">
        <v>45965</v>
      </c>
      <c r="B28" t="s">
        <v>6</v>
      </c>
      <c r="C28" t="s">
        <v>60</v>
      </c>
      <c r="D28">
        <v>2476.06</v>
      </c>
      <c r="E28">
        <f t="shared" si="0"/>
        <v>445.69079999999997</v>
      </c>
      <c r="F28">
        <f t="shared" si="1"/>
        <v>2921.7507999999998</v>
      </c>
      <c r="G28" t="s">
        <v>37</v>
      </c>
      <c r="H28">
        <f>VLOOKUP(B28,Proveedores!$A$2:$D$11,3,FALSE)</f>
        <v>0.12</v>
      </c>
      <c r="I28">
        <f t="shared" si="2"/>
        <v>0</v>
      </c>
      <c r="J28" s="8">
        <f>A28+VLOOKUP(B28,Proveedores!$A$2:$D$11,4,FALSE)</f>
        <v>46010</v>
      </c>
    </row>
    <row r="29" spans="1:10" x14ac:dyDescent="0.3">
      <c r="A29" s="2">
        <v>45989</v>
      </c>
      <c r="B29" t="s">
        <v>22</v>
      </c>
      <c r="C29" t="s">
        <v>61</v>
      </c>
      <c r="D29">
        <v>1626.69</v>
      </c>
      <c r="E29">
        <f t="shared" si="0"/>
        <v>292.80419999999998</v>
      </c>
      <c r="F29">
        <f t="shared" si="1"/>
        <v>1919.4942000000001</v>
      </c>
      <c r="G29" t="s">
        <v>33</v>
      </c>
      <c r="H29">
        <f>VLOOKUP(B29,Proveedores!$A$2:$D$11,3,FALSE)</f>
        <v>0.12</v>
      </c>
      <c r="I29">
        <f t="shared" si="2"/>
        <v>230.339304</v>
      </c>
      <c r="J29" s="8">
        <f>A29+VLOOKUP(B29,Proveedores!$A$2:$D$11,4,FALSE)</f>
        <v>46019</v>
      </c>
    </row>
    <row r="30" spans="1:10" x14ac:dyDescent="0.3">
      <c r="A30" s="2">
        <v>45991</v>
      </c>
      <c r="B30" t="s">
        <v>20</v>
      </c>
      <c r="C30" t="s">
        <v>62</v>
      </c>
      <c r="D30">
        <v>3678.77</v>
      </c>
      <c r="E30">
        <f t="shared" si="0"/>
        <v>662.17859999999996</v>
      </c>
      <c r="F30">
        <f t="shared" si="1"/>
        <v>4340.9485999999997</v>
      </c>
      <c r="G30" t="s">
        <v>37</v>
      </c>
      <c r="H30">
        <f>VLOOKUP(B30,Proveedores!$A$2:$D$11,3,FALSE)</f>
        <v>0</v>
      </c>
      <c r="I30">
        <f t="shared" si="2"/>
        <v>0</v>
      </c>
      <c r="J30" s="8">
        <f>A30+VLOOKUP(B30,Proveedores!$A$2:$D$11,4,FALSE)</f>
        <v>46021</v>
      </c>
    </row>
    <row r="31" spans="1:10" x14ac:dyDescent="0.3">
      <c r="A31" s="2">
        <v>46017</v>
      </c>
      <c r="B31" t="s">
        <v>4</v>
      </c>
      <c r="C31" t="s">
        <v>63</v>
      </c>
      <c r="D31">
        <v>2802.53</v>
      </c>
      <c r="E31">
        <f t="shared" si="0"/>
        <v>504.4554</v>
      </c>
      <c r="F31">
        <f t="shared" si="1"/>
        <v>3306.9854</v>
      </c>
      <c r="G31" t="s">
        <v>33</v>
      </c>
      <c r="H31">
        <f>VLOOKUP(B31,Proveedores!$A$2:$D$11,3,FALSE)</f>
        <v>0.1</v>
      </c>
      <c r="I31">
        <f t="shared" si="2"/>
        <v>330.69854000000004</v>
      </c>
      <c r="J31" s="8">
        <f>A31+VLOOKUP(B31,Proveedores!$A$2:$D$11,4,FALSE)</f>
        <v>46047</v>
      </c>
    </row>
    <row r="32" spans="1:10" x14ac:dyDescent="0.3">
      <c r="A32" s="2">
        <v>45996</v>
      </c>
      <c r="B32" t="s">
        <v>12</v>
      </c>
      <c r="C32" t="s">
        <v>64</v>
      </c>
      <c r="D32">
        <v>1470.61</v>
      </c>
      <c r="E32">
        <f t="shared" si="0"/>
        <v>264.70979999999997</v>
      </c>
      <c r="F32">
        <f t="shared" si="1"/>
        <v>1735.3197999999998</v>
      </c>
      <c r="G32" t="s">
        <v>33</v>
      </c>
      <c r="H32">
        <f>VLOOKUP(B32,Proveedores!$A$2:$D$11,3,FALSE)</f>
        <v>0.12</v>
      </c>
      <c r="I32">
        <f t="shared" si="2"/>
        <v>208.23837599999996</v>
      </c>
      <c r="J32" s="8">
        <f>A32+VLOOKUP(B32,Proveedores!$A$2:$D$11,4,FALSE)</f>
        <v>46011</v>
      </c>
    </row>
    <row r="33" spans="1:10" x14ac:dyDescent="0.3">
      <c r="A33" s="2">
        <v>45972</v>
      </c>
      <c r="B33" t="s">
        <v>18</v>
      </c>
      <c r="C33" t="s">
        <v>65</v>
      </c>
      <c r="D33">
        <v>3618.36</v>
      </c>
      <c r="E33">
        <f t="shared" si="0"/>
        <v>651.3048</v>
      </c>
      <c r="F33">
        <f t="shared" si="1"/>
        <v>4269.6648000000005</v>
      </c>
      <c r="G33" t="s">
        <v>37</v>
      </c>
      <c r="H33">
        <f>VLOOKUP(B33,Proveedores!$A$2:$D$11,3,FALSE)</f>
        <v>0.04</v>
      </c>
      <c r="I33">
        <f t="shared" si="2"/>
        <v>0</v>
      </c>
      <c r="J33" s="8">
        <f>A33+VLOOKUP(B33,Proveedores!$A$2:$D$11,4,FALSE)</f>
        <v>45987</v>
      </c>
    </row>
    <row r="34" spans="1:10" x14ac:dyDescent="0.3">
      <c r="A34" s="2">
        <v>45978</v>
      </c>
      <c r="B34" t="s">
        <v>20</v>
      </c>
      <c r="C34" t="s">
        <v>66</v>
      </c>
      <c r="D34">
        <v>2056.89</v>
      </c>
      <c r="E34">
        <f t="shared" ref="E34:E65" si="3">D34*0.18</f>
        <v>370.24019999999996</v>
      </c>
      <c r="F34">
        <f t="shared" ref="F34:F65" si="4">D34+E34</f>
        <v>2427.1301999999996</v>
      </c>
      <c r="G34" t="s">
        <v>37</v>
      </c>
      <c r="H34">
        <f>VLOOKUP(B34,Proveedores!$A$2:$D$11,3,FALSE)</f>
        <v>0</v>
      </c>
      <c r="I34">
        <f t="shared" ref="I34:I65" si="5">IF(G34="SI",F34*H34,0)</f>
        <v>0</v>
      </c>
      <c r="J34" s="8">
        <f>A34+VLOOKUP(B34,Proveedores!$A$2:$D$11,4,FALSE)</f>
        <v>46008</v>
      </c>
    </row>
    <row r="35" spans="1:10" x14ac:dyDescent="0.3">
      <c r="A35" s="2">
        <v>45968</v>
      </c>
      <c r="B35" t="s">
        <v>12</v>
      </c>
      <c r="C35" t="s">
        <v>67</v>
      </c>
      <c r="D35">
        <v>2056.8200000000002</v>
      </c>
      <c r="E35">
        <f t="shared" si="3"/>
        <v>370.2276</v>
      </c>
      <c r="F35">
        <f t="shared" si="4"/>
        <v>2427.0476000000003</v>
      </c>
      <c r="G35" t="s">
        <v>33</v>
      </c>
      <c r="H35">
        <f>VLOOKUP(B35,Proveedores!$A$2:$D$11,3,FALSE)</f>
        <v>0.12</v>
      </c>
      <c r="I35">
        <f t="shared" si="5"/>
        <v>291.24571200000003</v>
      </c>
      <c r="J35" s="8">
        <f>A35+VLOOKUP(B35,Proveedores!$A$2:$D$11,4,FALSE)</f>
        <v>45983</v>
      </c>
    </row>
    <row r="36" spans="1:10" x14ac:dyDescent="0.3">
      <c r="A36" s="2">
        <v>45985</v>
      </c>
      <c r="B36" t="s">
        <v>8</v>
      </c>
      <c r="C36" t="s">
        <v>68</v>
      </c>
      <c r="D36">
        <v>3617.25</v>
      </c>
      <c r="E36">
        <f t="shared" si="3"/>
        <v>651.10500000000002</v>
      </c>
      <c r="F36">
        <f t="shared" si="4"/>
        <v>4268.3549999999996</v>
      </c>
      <c r="G36" t="s">
        <v>37</v>
      </c>
      <c r="H36">
        <f>VLOOKUP(B36,Proveedores!$A$2:$D$11,3,FALSE)</f>
        <v>0</v>
      </c>
      <c r="I36">
        <f t="shared" si="5"/>
        <v>0</v>
      </c>
      <c r="J36" s="8">
        <f>A36+VLOOKUP(B36,Proveedores!$A$2:$D$11,4,FALSE)</f>
        <v>46015</v>
      </c>
    </row>
    <row r="37" spans="1:10" x14ac:dyDescent="0.3">
      <c r="A37" s="2">
        <v>45995</v>
      </c>
      <c r="B37" t="s">
        <v>4</v>
      </c>
      <c r="C37" t="s">
        <v>69</v>
      </c>
      <c r="D37">
        <v>1414.55</v>
      </c>
      <c r="E37">
        <f t="shared" si="3"/>
        <v>254.61899999999997</v>
      </c>
      <c r="F37">
        <f t="shared" si="4"/>
        <v>1669.1689999999999</v>
      </c>
      <c r="G37" t="s">
        <v>33</v>
      </c>
      <c r="H37">
        <f>VLOOKUP(B37,Proveedores!$A$2:$D$11,3,FALSE)</f>
        <v>0.1</v>
      </c>
      <c r="I37">
        <f t="shared" si="5"/>
        <v>166.9169</v>
      </c>
      <c r="J37" s="8">
        <f>A37+VLOOKUP(B37,Proveedores!$A$2:$D$11,4,FALSE)</f>
        <v>46025</v>
      </c>
    </row>
    <row r="38" spans="1:10" x14ac:dyDescent="0.3">
      <c r="A38" s="2">
        <v>45985</v>
      </c>
      <c r="B38" t="s">
        <v>12</v>
      </c>
      <c r="C38" t="s">
        <v>70</v>
      </c>
      <c r="D38">
        <v>482.74</v>
      </c>
      <c r="E38">
        <f t="shared" si="3"/>
        <v>86.893199999999993</v>
      </c>
      <c r="F38">
        <f t="shared" si="4"/>
        <v>569.63319999999999</v>
      </c>
      <c r="G38" t="s">
        <v>37</v>
      </c>
      <c r="H38">
        <f>VLOOKUP(B38,Proveedores!$A$2:$D$11,3,FALSE)</f>
        <v>0.12</v>
      </c>
      <c r="I38">
        <f t="shared" si="5"/>
        <v>0</v>
      </c>
      <c r="J38" s="8">
        <f>A38+VLOOKUP(B38,Proveedores!$A$2:$D$11,4,FALSE)</f>
        <v>46000</v>
      </c>
    </row>
    <row r="39" spans="1:10" x14ac:dyDescent="0.3">
      <c r="A39" s="2">
        <v>45967</v>
      </c>
      <c r="B39" t="s">
        <v>6</v>
      </c>
      <c r="C39" t="s">
        <v>71</v>
      </c>
      <c r="D39">
        <v>1980.97</v>
      </c>
      <c r="E39">
        <f t="shared" si="3"/>
        <v>356.57459999999998</v>
      </c>
      <c r="F39">
        <f t="shared" si="4"/>
        <v>2337.5446000000002</v>
      </c>
      <c r="G39" t="s">
        <v>33</v>
      </c>
      <c r="H39">
        <f>VLOOKUP(B39,Proveedores!$A$2:$D$11,3,FALSE)</f>
        <v>0.12</v>
      </c>
      <c r="I39">
        <f t="shared" si="5"/>
        <v>280.50535200000002</v>
      </c>
      <c r="J39" s="8">
        <f>A39+VLOOKUP(B39,Proveedores!$A$2:$D$11,4,FALSE)</f>
        <v>46012</v>
      </c>
    </row>
    <row r="40" spans="1:10" x14ac:dyDescent="0.3">
      <c r="A40" s="2">
        <v>46010</v>
      </c>
      <c r="B40" t="s">
        <v>20</v>
      </c>
      <c r="C40" t="s">
        <v>72</v>
      </c>
      <c r="D40">
        <v>729.37</v>
      </c>
      <c r="E40">
        <f t="shared" si="3"/>
        <v>131.28659999999999</v>
      </c>
      <c r="F40">
        <f t="shared" si="4"/>
        <v>860.65660000000003</v>
      </c>
      <c r="G40" t="s">
        <v>37</v>
      </c>
      <c r="H40">
        <f>VLOOKUP(B40,Proveedores!$A$2:$D$11,3,FALSE)</f>
        <v>0</v>
      </c>
      <c r="I40">
        <f t="shared" si="5"/>
        <v>0</v>
      </c>
      <c r="J40" s="8">
        <f>A40+VLOOKUP(B40,Proveedores!$A$2:$D$11,4,FALSE)</f>
        <v>46040</v>
      </c>
    </row>
    <row r="41" spans="1:10" x14ac:dyDescent="0.3">
      <c r="A41" s="2">
        <v>45992</v>
      </c>
      <c r="B41" t="s">
        <v>20</v>
      </c>
      <c r="C41" t="s">
        <v>73</v>
      </c>
      <c r="D41">
        <v>1207.7</v>
      </c>
      <c r="E41">
        <f t="shared" si="3"/>
        <v>217.386</v>
      </c>
      <c r="F41">
        <f t="shared" si="4"/>
        <v>1425.086</v>
      </c>
      <c r="G41" t="s">
        <v>37</v>
      </c>
      <c r="H41">
        <f>VLOOKUP(B41,Proveedores!$A$2:$D$11,3,FALSE)</f>
        <v>0</v>
      </c>
      <c r="I41">
        <f t="shared" si="5"/>
        <v>0</v>
      </c>
      <c r="J41" s="8">
        <f>A41+VLOOKUP(B41,Proveedores!$A$2:$D$11,4,FALSE)</f>
        <v>46022</v>
      </c>
    </row>
    <row r="42" spans="1:10" x14ac:dyDescent="0.3">
      <c r="A42" s="2">
        <v>46017</v>
      </c>
      <c r="B42" t="s">
        <v>22</v>
      </c>
      <c r="C42" t="s">
        <v>74</v>
      </c>
      <c r="D42">
        <v>3655.27</v>
      </c>
      <c r="E42">
        <f t="shared" si="3"/>
        <v>657.94859999999994</v>
      </c>
      <c r="F42">
        <f t="shared" si="4"/>
        <v>4313.2186000000002</v>
      </c>
      <c r="G42" t="s">
        <v>37</v>
      </c>
      <c r="H42">
        <f>VLOOKUP(B42,Proveedores!$A$2:$D$11,3,FALSE)</f>
        <v>0.12</v>
      </c>
      <c r="I42">
        <f t="shared" si="5"/>
        <v>0</v>
      </c>
      <c r="J42" s="8">
        <f>A42+VLOOKUP(B42,Proveedores!$A$2:$D$11,4,FALSE)</f>
        <v>46047</v>
      </c>
    </row>
    <row r="43" spans="1:10" x14ac:dyDescent="0.3">
      <c r="A43" s="2">
        <v>46010</v>
      </c>
      <c r="B43" t="s">
        <v>10</v>
      </c>
      <c r="C43" t="s">
        <v>75</v>
      </c>
      <c r="D43">
        <v>1371.01</v>
      </c>
      <c r="E43">
        <f t="shared" si="3"/>
        <v>246.78179999999998</v>
      </c>
      <c r="F43">
        <f t="shared" si="4"/>
        <v>1617.7918</v>
      </c>
      <c r="G43" t="s">
        <v>37</v>
      </c>
      <c r="H43">
        <f>VLOOKUP(B43,Proveedores!$A$2:$D$11,3,FALSE)</f>
        <v>0.1</v>
      </c>
      <c r="I43">
        <f t="shared" si="5"/>
        <v>0</v>
      </c>
      <c r="J43" s="8">
        <f>A43+VLOOKUP(B43,Proveedores!$A$2:$D$11,4,FALSE)</f>
        <v>46040</v>
      </c>
    </row>
    <row r="44" spans="1:10" x14ac:dyDescent="0.3">
      <c r="A44" s="2">
        <v>46003</v>
      </c>
      <c r="B44" t="s">
        <v>14</v>
      </c>
      <c r="C44" t="s">
        <v>76</v>
      </c>
      <c r="D44">
        <v>3428.65</v>
      </c>
      <c r="E44">
        <f t="shared" si="3"/>
        <v>617.15700000000004</v>
      </c>
      <c r="F44">
        <f t="shared" si="4"/>
        <v>4045.8070000000002</v>
      </c>
      <c r="G44" t="s">
        <v>37</v>
      </c>
      <c r="H44">
        <f>VLOOKUP(B44,Proveedores!$A$2:$D$11,3,FALSE)</f>
        <v>0</v>
      </c>
      <c r="I44">
        <f t="shared" si="5"/>
        <v>0</v>
      </c>
      <c r="J44" s="8">
        <f>A44+VLOOKUP(B44,Proveedores!$A$2:$D$11,4,FALSE)</f>
        <v>46033</v>
      </c>
    </row>
    <row r="45" spans="1:10" x14ac:dyDescent="0.3">
      <c r="A45" s="2">
        <v>45990</v>
      </c>
      <c r="B45" t="s">
        <v>6</v>
      </c>
      <c r="C45" t="s">
        <v>77</v>
      </c>
      <c r="D45">
        <v>1066.44</v>
      </c>
      <c r="E45">
        <f t="shared" si="3"/>
        <v>191.95920000000001</v>
      </c>
      <c r="F45">
        <f t="shared" si="4"/>
        <v>1258.3992000000001</v>
      </c>
      <c r="G45" t="s">
        <v>33</v>
      </c>
      <c r="H45">
        <f>VLOOKUP(B45,Proveedores!$A$2:$D$11,3,FALSE)</f>
        <v>0.12</v>
      </c>
      <c r="I45">
        <f t="shared" si="5"/>
        <v>151.007904</v>
      </c>
      <c r="J45" s="8">
        <f>A45+VLOOKUP(B45,Proveedores!$A$2:$D$11,4,FALSE)</f>
        <v>46035</v>
      </c>
    </row>
    <row r="46" spans="1:10" x14ac:dyDescent="0.3">
      <c r="A46" s="2">
        <v>45999</v>
      </c>
      <c r="B46" t="s">
        <v>20</v>
      </c>
      <c r="C46" t="s">
        <v>78</v>
      </c>
      <c r="D46">
        <v>2339.54</v>
      </c>
      <c r="E46">
        <f t="shared" si="3"/>
        <v>421.11719999999997</v>
      </c>
      <c r="F46">
        <f t="shared" si="4"/>
        <v>2760.6572000000001</v>
      </c>
      <c r="G46" t="s">
        <v>37</v>
      </c>
      <c r="H46">
        <f>VLOOKUP(B46,Proveedores!$A$2:$D$11,3,FALSE)</f>
        <v>0</v>
      </c>
      <c r="I46">
        <f t="shared" si="5"/>
        <v>0</v>
      </c>
      <c r="J46" s="8">
        <f>A46+VLOOKUP(B46,Proveedores!$A$2:$D$11,4,FALSE)</f>
        <v>46029</v>
      </c>
    </row>
    <row r="47" spans="1:10" x14ac:dyDescent="0.3">
      <c r="A47" s="2">
        <v>45962</v>
      </c>
      <c r="B47" t="s">
        <v>6</v>
      </c>
      <c r="C47" t="s">
        <v>79</v>
      </c>
      <c r="D47">
        <v>2488.86</v>
      </c>
      <c r="E47">
        <f t="shared" si="3"/>
        <v>447.9948</v>
      </c>
      <c r="F47">
        <f t="shared" si="4"/>
        <v>2936.8548000000001</v>
      </c>
      <c r="G47" t="s">
        <v>33</v>
      </c>
      <c r="H47">
        <f>VLOOKUP(B47,Proveedores!$A$2:$D$11,3,FALSE)</f>
        <v>0.12</v>
      </c>
      <c r="I47">
        <f t="shared" si="5"/>
        <v>352.42257599999999</v>
      </c>
      <c r="J47" s="8">
        <f>A47+VLOOKUP(B47,Proveedores!$A$2:$D$11,4,FALSE)</f>
        <v>46007</v>
      </c>
    </row>
    <row r="48" spans="1:10" x14ac:dyDescent="0.3">
      <c r="A48" s="2">
        <v>46019</v>
      </c>
      <c r="B48" t="s">
        <v>4</v>
      </c>
      <c r="C48" t="s">
        <v>80</v>
      </c>
      <c r="D48">
        <v>528</v>
      </c>
      <c r="E48">
        <f t="shared" si="3"/>
        <v>95.039999999999992</v>
      </c>
      <c r="F48">
        <f t="shared" si="4"/>
        <v>623.04</v>
      </c>
      <c r="G48" t="s">
        <v>33</v>
      </c>
      <c r="H48">
        <f>VLOOKUP(B48,Proveedores!$A$2:$D$11,3,FALSE)</f>
        <v>0.1</v>
      </c>
      <c r="I48">
        <f t="shared" si="5"/>
        <v>62.304000000000002</v>
      </c>
      <c r="J48" s="8">
        <f>A48+VLOOKUP(B48,Proveedores!$A$2:$D$11,4,FALSE)</f>
        <v>46049</v>
      </c>
    </row>
    <row r="49" spans="1:10" x14ac:dyDescent="0.3">
      <c r="A49" s="2">
        <v>46004</v>
      </c>
      <c r="B49" t="s">
        <v>18</v>
      </c>
      <c r="C49" t="s">
        <v>81</v>
      </c>
      <c r="D49">
        <v>2167.3200000000002</v>
      </c>
      <c r="E49">
        <f t="shared" si="3"/>
        <v>390.11760000000004</v>
      </c>
      <c r="F49">
        <f t="shared" si="4"/>
        <v>2557.4376000000002</v>
      </c>
      <c r="G49" t="s">
        <v>37</v>
      </c>
      <c r="H49">
        <f>VLOOKUP(B49,Proveedores!$A$2:$D$11,3,FALSE)</f>
        <v>0.04</v>
      </c>
      <c r="I49">
        <f t="shared" si="5"/>
        <v>0</v>
      </c>
      <c r="J49" s="8">
        <f>A49+VLOOKUP(B49,Proveedores!$A$2:$D$11,4,FALSE)</f>
        <v>46019</v>
      </c>
    </row>
    <row r="50" spans="1:10" x14ac:dyDescent="0.3">
      <c r="A50" s="2">
        <v>46018</v>
      </c>
      <c r="B50" t="s">
        <v>22</v>
      </c>
      <c r="C50" t="s">
        <v>82</v>
      </c>
      <c r="D50">
        <v>1934.35</v>
      </c>
      <c r="E50">
        <f t="shared" si="3"/>
        <v>348.18299999999999</v>
      </c>
      <c r="F50">
        <f t="shared" si="4"/>
        <v>2282.5329999999999</v>
      </c>
      <c r="G50" t="s">
        <v>37</v>
      </c>
      <c r="H50">
        <f>VLOOKUP(B50,Proveedores!$A$2:$D$11,3,FALSE)</f>
        <v>0.12</v>
      </c>
      <c r="I50">
        <f t="shared" si="5"/>
        <v>0</v>
      </c>
      <c r="J50" s="8">
        <f>A50+VLOOKUP(B50,Proveedores!$A$2:$D$11,4,FALSE)</f>
        <v>46048</v>
      </c>
    </row>
    <row r="51" spans="1:10" x14ac:dyDescent="0.3">
      <c r="A51" s="2">
        <v>46013</v>
      </c>
      <c r="B51" t="s">
        <v>16</v>
      </c>
      <c r="C51" t="s">
        <v>83</v>
      </c>
      <c r="D51">
        <v>610.14</v>
      </c>
      <c r="E51">
        <f t="shared" si="3"/>
        <v>109.8252</v>
      </c>
      <c r="F51">
        <f t="shared" si="4"/>
        <v>719.96519999999998</v>
      </c>
      <c r="G51" t="s">
        <v>33</v>
      </c>
      <c r="H51">
        <f>VLOOKUP(B51,Proveedores!$A$2:$D$11,3,FALSE)</f>
        <v>0.04</v>
      </c>
      <c r="I51">
        <f t="shared" si="5"/>
        <v>28.798608000000002</v>
      </c>
      <c r="J51" s="8">
        <f>A51+VLOOKUP(B51,Proveedores!$A$2:$D$11,4,FALSE)</f>
        <v>46043</v>
      </c>
    </row>
    <row r="52" spans="1:10" x14ac:dyDescent="0.3">
      <c r="A52" s="2">
        <v>45984</v>
      </c>
      <c r="B52" t="s">
        <v>16</v>
      </c>
      <c r="C52" t="s">
        <v>84</v>
      </c>
      <c r="D52">
        <v>1914.59</v>
      </c>
      <c r="E52">
        <f t="shared" si="3"/>
        <v>344.62619999999998</v>
      </c>
      <c r="F52">
        <f t="shared" si="4"/>
        <v>2259.2161999999998</v>
      </c>
      <c r="G52" t="s">
        <v>37</v>
      </c>
      <c r="H52">
        <f>VLOOKUP(B52,Proveedores!$A$2:$D$11,3,FALSE)</f>
        <v>0.04</v>
      </c>
      <c r="I52">
        <f t="shared" si="5"/>
        <v>0</v>
      </c>
      <c r="J52" s="8">
        <f>A52+VLOOKUP(B52,Proveedores!$A$2:$D$11,4,FALSE)</f>
        <v>46014</v>
      </c>
    </row>
    <row r="53" spans="1:10" x14ac:dyDescent="0.3">
      <c r="A53" s="2">
        <v>46005</v>
      </c>
      <c r="B53" t="s">
        <v>6</v>
      </c>
      <c r="C53" t="s">
        <v>85</v>
      </c>
      <c r="D53">
        <v>1689.17</v>
      </c>
      <c r="E53">
        <f t="shared" si="3"/>
        <v>304.05059999999997</v>
      </c>
      <c r="F53">
        <f t="shared" si="4"/>
        <v>1993.2206000000001</v>
      </c>
      <c r="G53" t="s">
        <v>33</v>
      </c>
      <c r="H53">
        <f>VLOOKUP(B53,Proveedores!$A$2:$D$11,3,FALSE)</f>
        <v>0.12</v>
      </c>
      <c r="I53">
        <f t="shared" si="5"/>
        <v>239.18647200000001</v>
      </c>
      <c r="J53" s="8">
        <f>A53+VLOOKUP(B53,Proveedores!$A$2:$D$11,4,FALSE)</f>
        <v>46050</v>
      </c>
    </row>
    <row r="54" spans="1:10" x14ac:dyDescent="0.3">
      <c r="A54" s="2">
        <v>46017</v>
      </c>
      <c r="B54" t="s">
        <v>6</v>
      </c>
      <c r="C54" t="s">
        <v>86</v>
      </c>
      <c r="D54">
        <v>950.57</v>
      </c>
      <c r="E54">
        <f t="shared" si="3"/>
        <v>171.1026</v>
      </c>
      <c r="F54">
        <f t="shared" si="4"/>
        <v>1121.6726000000001</v>
      </c>
      <c r="G54" t="s">
        <v>33</v>
      </c>
      <c r="H54">
        <f>VLOOKUP(B54,Proveedores!$A$2:$D$11,3,FALSE)</f>
        <v>0.12</v>
      </c>
      <c r="I54">
        <f t="shared" si="5"/>
        <v>134.60071200000002</v>
      </c>
      <c r="J54" s="8">
        <f>A54+VLOOKUP(B54,Proveedores!$A$2:$D$11,4,FALSE)</f>
        <v>46062</v>
      </c>
    </row>
    <row r="55" spans="1:10" x14ac:dyDescent="0.3">
      <c r="A55" s="2">
        <v>45970</v>
      </c>
      <c r="B55" t="s">
        <v>16</v>
      </c>
      <c r="C55" t="s">
        <v>87</v>
      </c>
      <c r="D55">
        <v>1254.9100000000001</v>
      </c>
      <c r="E55">
        <f t="shared" si="3"/>
        <v>225.88380000000001</v>
      </c>
      <c r="F55">
        <f t="shared" si="4"/>
        <v>1480.7938000000001</v>
      </c>
      <c r="G55" t="s">
        <v>33</v>
      </c>
      <c r="H55">
        <f>VLOOKUP(B55,Proveedores!$A$2:$D$11,3,FALSE)</f>
        <v>0.04</v>
      </c>
      <c r="I55">
        <f t="shared" si="5"/>
        <v>59.231752000000007</v>
      </c>
      <c r="J55" s="8">
        <f>A55+VLOOKUP(B55,Proveedores!$A$2:$D$11,4,FALSE)</f>
        <v>46000</v>
      </c>
    </row>
    <row r="56" spans="1:10" x14ac:dyDescent="0.3">
      <c r="A56" s="2">
        <v>45966</v>
      </c>
      <c r="B56" t="s">
        <v>18</v>
      </c>
      <c r="C56" t="s">
        <v>88</v>
      </c>
      <c r="D56">
        <v>622.67999999999995</v>
      </c>
      <c r="E56">
        <f t="shared" si="3"/>
        <v>112.08239999999999</v>
      </c>
      <c r="F56">
        <f t="shared" si="4"/>
        <v>734.76239999999996</v>
      </c>
      <c r="G56" t="s">
        <v>33</v>
      </c>
      <c r="H56">
        <f>VLOOKUP(B56,Proveedores!$A$2:$D$11,3,FALSE)</f>
        <v>0.04</v>
      </c>
      <c r="I56">
        <f t="shared" si="5"/>
        <v>29.390495999999999</v>
      </c>
      <c r="J56" s="8">
        <f>A56+VLOOKUP(B56,Proveedores!$A$2:$D$11,4,FALSE)</f>
        <v>45981</v>
      </c>
    </row>
    <row r="57" spans="1:10" x14ac:dyDescent="0.3">
      <c r="A57" s="2">
        <v>45996</v>
      </c>
      <c r="B57" t="s">
        <v>4</v>
      </c>
      <c r="C57" t="s">
        <v>89</v>
      </c>
      <c r="D57">
        <v>3522.28</v>
      </c>
      <c r="E57">
        <f t="shared" si="3"/>
        <v>634.0104</v>
      </c>
      <c r="F57">
        <f t="shared" si="4"/>
        <v>4156.2903999999999</v>
      </c>
      <c r="G57" t="s">
        <v>37</v>
      </c>
      <c r="H57">
        <f>VLOOKUP(B57,Proveedores!$A$2:$D$11,3,FALSE)</f>
        <v>0.1</v>
      </c>
      <c r="I57">
        <f t="shared" si="5"/>
        <v>0</v>
      </c>
      <c r="J57" s="8">
        <f>A57+VLOOKUP(B57,Proveedores!$A$2:$D$11,4,FALSE)</f>
        <v>46026</v>
      </c>
    </row>
    <row r="58" spans="1:10" x14ac:dyDescent="0.3">
      <c r="A58" s="2">
        <v>45972</v>
      </c>
      <c r="B58" t="s">
        <v>16</v>
      </c>
      <c r="C58" t="s">
        <v>90</v>
      </c>
      <c r="D58">
        <v>1964.75</v>
      </c>
      <c r="E58">
        <f t="shared" si="3"/>
        <v>353.65499999999997</v>
      </c>
      <c r="F58">
        <f t="shared" si="4"/>
        <v>2318.4049999999997</v>
      </c>
      <c r="G58" t="s">
        <v>37</v>
      </c>
      <c r="H58">
        <f>VLOOKUP(B58,Proveedores!$A$2:$D$11,3,FALSE)</f>
        <v>0.04</v>
      </c>
      <c r="I58">
        <f t="shared" si="5"/>
        <v>0</v>
      </c>
      <c r="J58" s="8">
        <f>A58+VLOOKUP(B58,Proveedores!$A$2:$D$11,4,FALSE)</f>
        <v>46002</v>
      </c>
    </row>
    <row r="59" spans="1:10" x14ac:dyDescent="0.3">
      <c r="A59" s="2">
        <v>46019</v>
      </c>
      <c r="B59" t="s">
        <v>4</v>
      </c>
      <c r="C59" t="s">
        <v>91</v>
      </c>
      <c r="D59">
        <v>1606.41</v>
      </c>
      <c r="E59">
        <f t="shared" si="3"/>
        <v>289.15379999999999</v>
      </c>
      <c r="F59">
        <f t="shared" si="4"/>
        <v>1895.5638000000001</v>
      </c>
      <c r="G59" t="s">
        <v>37</v>
      </c>
      <c r="H59">
        <f>VLOOKUP(B59,Proveedores!$A$2:$D$11,3,FALSE)</f>
        <v>0.1</v>
      </c>
      <c r="I59">
        <f t="shared" si="5"/>
        <v>0</v>
      </c>
      <c r="J59" s="8">
        <f>A59+VLOOKUP(B59,Proveedores!$A$2:$D$11,4,FALSE)</f>
        <v>46049</v>
      </c>
    </row>
    <row r="60" spans="1:10" x14ac:dyDescent="0.3">
      <c r="A60" s="2">
        <v>45978</v>
      </c>
      <c r="B60" t="s">
        <v>18</v>
      </c>
      <c r="C60" t="s">
        <v>92</v>
      </c>
      <c r="D60">
        <v>1760.53</v>
      </c>
      <c r="E60">
        <f t="shared" si="3"/>
        <v>316.8954</v>
      </c>
      <c r="F60">
        <f t="shared" si="4"/>
        <v>2077.4254000000001</v>
      </c>
      <c r="G60" t="s">
        <v>37</v>
      </c>
      <c r="H60">
        <f>VLOOKUP(B60,Proveedores!$A$2:$D$11,3,FALSE)</f>
        <v>0.04</v>
      </c>
      <c r="I60">
        <f t="shared" si="5"/>
        <v>0</v>
      </c>
      <c r="J60" s="8">
        <f>A60+VLOOKUP(B60,Proveedores!$A$2:$D$11,4,FALSE)</f>
        <v>45993</v>
      </c>
    </row>
    <row r="61" spans="1:10" x14ac:dyDescent="0.3">
      <c r="A61" s="2">
        <v>46012</v>
      </c>
      <c r="B61" t="s">
        <v>20</v>
      </c>
      <c r="C61" t="s">
        <v>93</v>
      </c>
      <c r="D61">
        <v>2794.43</v>
      </c>
      <c r="E61">
        <f t="shared" si="3"/>
        <v>502.99739999999997</v>
      </c>
      <c r="F61">
        <f t="shared" si="4"/>
        <v>3297.4273999999996</v>
      </c>
      <c r="G61" t="s">
        <v>37</v>
      </c>
      <c r="H61">
        <f>VLOOKUP(B61,Proveedores!$A$2:$D$11,3,FALSE)</f>
        <v>0</v>
      </c>
      <c r="I61">
        <f t="shared" si="5"/>
        <v>0</v>
      </c>
      <c r="J61" s="8">
        <f>A61+VLOOKUP(B61,Proveedores!$A$2:$D$11,4,FALSE)</f>
        <v>46042</v>
      </c>
    </row>
    <row r="62" spans="1:10" x14ac:dyDescent="0.3">
      <c r="A62" s="2">
        <v>45971</v>
      </c>
      <c r="B62" t="s">
        <v>10</v>
      </c>
      <c r="C62" t="s">
        <v>94</v>
      </c>
      <c r="D62">
        <v>1041.95</v>
      </c>
      <c r="E62">
        <f t="shared" si="3"/>
        <v>187.55099999999999</v>
      </c>
      <c r="F62">
        <f t="shared" si="4"/>
        <v>1229.501</v>
      </c>
      <c r="G62" t="s">
        <v>33</v>
      </c>
      <c r="H62">
        <f>VLOOKUP(B62,Proveedores!$A$2:$D$11,3,FALSE)</f>
        <v>0.1</v>
      </c>
      <c r="I62">
        <f t="shared" si="5"/>
        <v>122.95010000000001</v>
      </c>
      <c r="J62" s="8">
        <f>A62+VLOOKUP(B62,Proveedores!$A$2:$D$11,4,FALSE)</f>
        <v>46001</v>
      </c>
    </row>
    <row r="63" spans="1:10" x14ac:dyDescent="0.3">
      <c r="A63" s="2">
        <v>46009</v>
      </c>
      <c r="B63" t="s">
        <v>20</v>
      </c>
      <c r="C63" t="s">
        <v>95</v>
      </c>
      <c r="D63">
        <v>2897.91</v>
      </c>
      <c r="E63">
        <f t="shared" si="3"/>
        <v>521.62379999999996</v>
      </c>
      <c r="F63">
        <f t="shared" si="4"/>
        <v>3419.5337999999997</v>
      </c>
      <c r="G63" t="s">
        <v>37</v>
      </c>
      <c r="H63">
        <f>VLOOKUP(B63,Proveedores!$A$2:$D$11,3,FALSE)</f>
        <v>0</v>
      </c>
      <c r="I63">
        <f t="shared" si="5"/>
        <v>0</v>
      </c>
      <c r="J63" s="8">
        <f>A63+VLOOKUP(B63,Proveedores!$A$2:$D$11,4,FALSE)</f>
        <v>46039</v>
      </c>
    </row>
    <row r="64" spans="1:10" x14ac:dyDescent="0.3">
      <c r="A64" s="2">
        <v>45965</v>
      </c>
      <c r="B64" t="s">
        <v>4</v>
      </c>
      <c r="C64" t="s">
        <v>96</v>
      </c>
      <c r="D64">
        <v>1948.76</v>
      </c>
      <c r="E64">
        <f t="shared" si="3"/>
        <v>350.77679999999998</v>
      </c>
      <c r="F64">
        <f t="shared" si="4"/>
        <v>2299.5367999999999</v>
      </c>
      <c r="G64" t="s">
        <v>37</v>
      </c>
      <c r="H64">
        <f>VLOOKUP(B64,Proveedores!$A$2:$D$11,3,FALSE)</f>
        <v>0.1</v>
      </c>
      <c r="I64">
        <f t="shared" si="5"/>
        <v>0</v>
      </c>
      <c r="J64" s="8">
        <f>A64+VLOOKUP(B64,Proveedores!$A$2:$D$11,4,FALSE)</f>
        <v>45995</v>
      </c>
    </row>
    <row r="65" spans="1:10" x14ac:dyDescent="0.3">
      <c r="A65" s="2">
        <v>45995</v>
      </c>
      <c r="B65" t="s">
        <v>8</v>
      </c>
      <c r="C65" t="s">
        <v>97</v>
      </c>
      <c r="D65">
        <v>3642.73</v>
      </c>
      <c r="E65">
        <f t="shared" si="3"/>
        <v>655.69139999999993</v>
      </c>
      <c r="F65">
        <f t="shared" si="4"/>
        <v>4298.4214000000002</v>
      </c>
      <c r="G65" t="s">
        <v>37</v>
      </c>
      <c r="H65">
        <f>VLOOKUP(B65,Proveedores!$A$2:$D$11,3,FALSE)</f>
        <v>0</v>
      </c>
      <c r="I65">
        <f t="shared" si="5"/>
        <v>0</v>
      </c>
      <c r="J65" s="8">
        <f>A65+VLOOKUP(B65,Proveedores!$A$2:$D$11,4,FALSE)</f>
        <v>46025</v>
      </c>
    </row>
    <row r="66" spans="1:10" x14ac:dyDescent="0.3">
      <c r="A66" s="2">
        <v>45967</v>
      </c>
      <c r="B66" t="s">
        <v>8</v>
      </c>
      <c r="C66" t="s">
        <v>98</v>
      </c>
      <c r="D66">
        <v>2362.62</v>
      </c>
      <c r="E66">
        <f t="shared" ref="E66:E91" si="6">D66*0.18</f>
        <v>425.27159999999998</v>
      </c>
      <c r="F66">
        <f t="shared" ref="F66:F91" si="7">D66+E66</f>
        <v>2787.8915999999999</v>
      </c>
      <c r="G66" t="s">
        <v>37</v>
      </c>
      <c r="H66">
        <f>VLOOKUP(B66,Proveedores!$A$2:$D$11,3,FALSE)</f>
        <v>0</v>
      </c>
      <c r="I66">
        <f t="shared" ref="I66:I91" si="8">IF(G66="SI",F66*H66,0)</f>
        <v>0</v>
      </c>
      <c r="J66" s="8">
        <f>A66+VLOOKUP(B66,Proveedores!$A$2:$D$11,4,FALSE)</f>
        <v>45997</v>
      </c>
    </row>
    <row r="67" spans="1:10" x14ac:dyDescent="0.3">
      <c r="A67" s="2">
        <v>46005</v>
      </c>
      <c r="B67" t="s">
        <v>10</v>
      </c>
      <c r="C67" t="s">
        <v>99</v>
      </c>
      <c r="D67">
        <v>699.6</v>
      </c>
      <c r="E67">
        <f t="shared" si="6"/>
        <v>125.928</v>
      </c>
      <c r="F67">
        <f t="shared" si="7"/>
        <v>825.52800000000002</v>
      </c>
      <c r="G67" t="s">
        <v>37</v>
      </c>
      <c r="H67">
        <f>VLOOKUP(B67,Proveedores!$A$2:$D$11,3,FALSE)</f>
        <v>0.1</v>
      </c>
      <c r="I67">
        <f t="shared" si="8"/>
        <v>0</v>
      </c>
      <c r="J67" s="8">
        <f>A67+VLOOKUP(B67,Proveedores!$A$2:$D$11,4,FALSE)</f>
        <v>46035</v>
      </c>
    </row>
    <row r="68" spans="1:10" x14ac:dyDescent="0.3">
      <c r="A68" s="2">
        <v>45977</v>
      </c>
      <c r="B68" t="s">
        <v>22</v>
      </c>
      <c r="C68" t="s">
        <v>100</v>
      </c>
      <c r="D68">
        <v>419.1</v>
      </c>
      <c r="E68">
        <f t="shared" si="6"/>
        <v>75.438000000000002</v>
      </c>
      <c r="F68">
        <f t="shared" si="7"/>
        <v>494.53800000000001</v>
      </c>
      <c r="G68" t="s">
        <v>33</v>
      </c>
      <c r="H68">
        <f>VLOOKUP(B68,Proveedores!$A$2:$D$11,3,FALSE)</f>
        <v>0.12</v>
      </c>
      <c r="I68">
        <f t="shared" si="8"/>
        <v>59.344560000000001</v>
      </c>
      <c r="J68" s="8">
        <f>A68+VLOOKUP(B68,Proveedores!$A$2:$D$11,4,FALSE)</f>
        <v>46007</v>
      </c>
    </row>
    <row r="69" spans="1:10" x14ac:dyDescent="0.3">
      <c r="A69" s="2">
        <v>46004</v>
      </c>
      <c r="B69" t="s">
        <v>22</v>
      </c>
      <c r="C69" t="s">
        <v>101</v>
      </c>
      <c r="D69">
        <v>2109.7399999999998</v>
      </c>
      <c r="E69">
        <f t="shared" si="6"/>
        <v>379.75319999999994</v>
      </c>
      <c r="F69">
        <f t="shared" si="7"/>
        <v>2489.4931999999999</v>
      </c>
      <c r="G69" t="s">
        <v>37</v>
      </c>
      <c r="H69">
        <f>VLOOKUP(B69,Proveedores!$A$2:$D$11,3,FALSE)</f>
        <v>0.12</v>
      </c>
      <c r="I69">
        <f t="shared" si="8"/>
        <v>0</v>
      </c>
      <c r="J69" s="8">
        <f>A69+VLOOKUP(B69,Proveedores!$A$2:$D$11,4,FALSE)</f>
        <v>46034</v>
      </c>
    </row>
    <row r="70" spans="1:10" x14ac:dyDescent="0.3">
      <c r="A70" s="2">
        <v>45975</v>
      </c>
      <c r="B70" t="s">
        <v>14</v>
      </c>
      <c r="C70" t="s">
        <v>102</v>
      </c>
      <c r="D70">
        <v>1209.6500000000001</v>
      </c>
      <c r="E70">
        <f t="shared" si="6"/>
        <v>217.73699999999999</v>
      </c>
      <c r="F70">
        <f t="shared" si="7"/>
        <v>1427.3870000000002</v>
      </c>
      <c r="G70" t="s">
        <v>37</v>
      </c>
      <c r="H70">
        <f>VLOOKUP(B70,Proveedores!$A$2:$D$11,3,FALSE)</f>
        <v>0</v>
      </c>
      <c r="I70">
        <f t="shared" si="8"/>
        <v>0</v>
      </c>
      <c r="J70" s="8">
        <f>A70+VLOOKUP(B70,Proveedores!$A$2:$D$11,4,FALSE)</f>
        <v>46005</v>
      </c>
    </row>
    <row r="71" spans="1:10" x14ac:dyDescent="0.3">
      <c r="A71" s="2">
        <v>45970</v>
      </c>
      <c r="B71" t="s">
        <v>12</v>
      </c>
      <c r="C71" t="s">
        <v>103</v>
      </c>
      <c r="D71">
        <v>1386.62</v>
      </c>
      <c r="E71">
        <f t="shared" si="6"/>
        <v>249.59159999999997</v>
      </c>
      <c r="F71">
        <f t="shared" si="7"/>
        <v>1636.2115999999999</v>
      </c>
      <c r="G71" t="s">
        <v>37</v>
      </c>
      <c r="H71">
        <f>VLOOKUP(B71,Proveedores!$A$2:$D$11,3,FALSE)</f>
        <v>0.12</v>
      </c>
      <c r="I71">
        <f t="shared" si="8"/>
        <v>0</v>
      </c>
      <c r="J71" s="8">
        <f>A71+VLOOKUP(B71,Proveedores!$A$2:$D$11,4,FALSE)</f>
        <v>45985</v>
      </c>
    </row>
    <row r="72" spans="1:10" x14ac:dyDescent="0.3">
      <c r="A72" s="2">
        <v>45966</v>
      </c>
      <c r="B72" t="s">
        <v>4</v>
      </c>
      <c r="C72" t="s">
        <v>104</v>
      </c>
      <c r="D72">
        <v>2454.06</v>
      </c>
      <c r="E72">
        <f t="shared" si="6"/>
        <v>441.73079999999999</v>
      </c>
      <c r="F72">
        <f t="shared" si="7"/>
        <v>2895.7907999999998</v>
      </c>
      <c r="G72" t="s">
        <v>33</v>
      </c>
      <c r="H72">
        <f>VLOOKUP(B72,Proveedores!$A$2:$D$11,3,FALSE)</f>
        <v>0.1</v>
      </c>
      <c r="I72">
        <f t="shared" si="8"/>
        <v>289.57907999999998</v>
      </c>
      <c r="J72" s="8">
        <f>A72+VLOOKUP(B72,Proveedores!$A$2:$D$11,4,FALSE)</f>
        <v>45996</v>
      </c>
    </row>
    <row r="73" spans="1:10" x14ac:dyDescent="0.3">
      <c r="A73" s="2">
        <v>45968</v>
      </c>
      <c r="B73" t="s">
        <v>6</v>
      </c>
      <c r="C73" t="s">
        <v>105</v>
      </c>
      <c r="D73">
        <v>1026.04</v>
      </c>
      <c r="E73">
        <f t="shared" si="6"/>
        <v>184.68719999999999</v>
      </c>
      <c r="F73">
        <f t="shared" si="7"/>
        <v>1210.7272</v>
      </c>
      <c r="G73" t="s">
        <v>33</v>
      </c>
      <c r="H73">
        <f>VLOOKUP(B73,Proveedores!$A$2:$D$11,3,FALSE)</f>
        <v>0.12</v>
      </c>
      <c r="I73">
        <f t="shared" si="8"/>
        <v>145.28726399999999</v>
      </c>
      <c r="J73" s="8">
        <f>A73+VLOOKUP(B73,Proveedores!$A$2:$D$11,4,FALSE)</f>
        <v>46013</v>
      </c>
    </row>
    <row r="74" spans="1:10" x14ac:dyDescent="0.3">
      <c r="A74" s="2">
        <v>45984</v>
      </c>
      <c r="B74" t="s">
        <v>6</v>
      </c>
      <c r="C74" t="s">
        <v>106</v>
      </c>
      <c r="D74">
        <v>1573.34</v>
      </c>
      <c r="E74">
        <f t="shared" si="6"/>
        <v>283.20119999999997</v>
      </c>
      <c r="F74">
        <f t="shared" si="7"/>
        <v>1856.5411999999999</v>
      </c>
      <c r="G74" t="s">
        <v>33</v>
      </c>
      <c r="H74">
        <f>VLOOKUP(B74,Proveedores!$A$2:$D$11,3,FALSE)</f>
        <v>0.12</v>
      </c>
      <c r="I74">
        <f t="shared" si="8"/>
        <v>222.78494399999997</v>
      </c>
      <c r="J74" s="8">
        <f>A74+VLOOKUP(B74,Proveedores!$A$2:$D$11,4,FALSE)</f>
        <v>46029</v>
      </c>
    </row>
    <row r="75" spans="1:10" x14ac:dyDescent="0.3">
      <c r="A75" s="2">
        <v>46015</v>
      </c>
      <c r="B75" t="s">
        <v>20</v>
      </c>
      <c r="C75" t="s">
        <v>107</v>
      </c>
      <c r="D75">
        <v>1338.81</v>
      </c>
      <c r="E75">
        <f t="shared" si="6"/>
        <v>240.98579999999998</v>
      </c>
      <c r="F75">
        <f t="shared" si="7"/>
        <v>1579.7957999999999</v>
      </c>
      <c r="G75" t="s">
        <v>37</v>
      </c>
      <c r="H75">
        <f>VLOOKUP(B75,Proveedores!$A$2:$D$11,3,FALSE)</f>
        <v>0</v>
      </c>
      <c r="I75">
        <f t="shared" si="8"/>
        <v>0</v>
      </c>
      <c r="J75" s="8">
        <f>A75+VLOOKUP(B75,Proveedores!$A$2:$D$11,4,FALSE)</f>
        <v>46045</v>
      </c>
    </row>
    <row r="76" spans="1:10" x14ac:dyDescent="0.3">
      <c r="A76" s="2">
        <v>46013</v>
      </c>
      <c r="B76" t="s">
        <v>20</v>
      </c>
      <c r="C76" t="s">
        <v>108</v>
      </c>
      <c r="D76">
        <v>2617.52</v>
      </c>
      <c r="E76">
        <f t="shared" si="6"/>
        <v>471.15359999999998</v>
      </c>
      <c r="F76">
        <f t="shared" si="7"/>
        <v>3088.6736000000001</v>
      </c>
      <c r="G76" t="s">
        <v>37</v>
      </c>
      <c r="H76">
        <f>VLOOKUP(B76,Proveedores!$A$2:$D$11,3,FALSE)</f>
        <v>0</v>
      </c>
      <c r="I76">
        <f t="shared" si="8"/>
        <v>0</v>
      </c>
      <c r="J76" s="8">
        <f>A76+VLOOKUP(B76,Proveedores!$A$2:$D$11,4,FALSE)</f>
        <v>46043</v>
      </c>
    </row>
    <row r="77" spans="1:10" x14ac:dyDescent="0.3">
      <c r="A77" s="2">
        <v>45997</v>
      </c>
      <c r="B77" t="s">
        <v>12</v>
      </c>
      <c r="C77" t="s">
        <v>109</v>
      </c>
      <c r="D77">
        <v>642.54999999999995</v>
      </c>
      <c r="E77">
        <f t="shared" si="6"/>
        <v>115.65899999999999</v>
      </c>
      <c r="F77">
        <f t="shared" si="7"/>
        <v>758.20899999999995</v>
      </c>
      <c r="G77" t="s">
        <v>37</v>
      </c>
      <c r="H77">
        <f>VLOOKUP(B77,Proveedores!$A$2:$D$11,3,FALSE)</f>
        <v>0.12</v>
      </c>
      <c r="I77">
        <f t="shared" si="8"/>
        <v>0</v>
      </c>
      <c r="J77" s="8">
        <f>A77+VLOOKUP(B77,Proveedores!$A$2:$D$11,4,FALSE)</f>
        <v>46012</v>
      </c>
    </row>
    <row r="78" spans="1:10" x14ac:dyDescent="0.3">
      <c r="A78" s="2">
        <v>45978</v>
      </c>
      <c r="B78" t="s">
        <v>6</v>
      </c>
      <c r="C78" t="s">
        <v>110</v>
      </c>
      <c r="D78">
        <v>2878.46</v>
      </c>
      <c r="E78">
        <f t="shared" si="6"/>
        <v>518.12279999999998</v>
      </c>
      <c r="F78">
        <f t="shared" si="7"/>
        <v>3396.5828000000001</v>
      </c>
      <c r="G78" t="s">
        <v>33</v>
      </c>
      <c r="H78">
        <f>VLOOKUP(B78,Proveedores!$A$2:$D$11,3,FALSE)</f>
        <v>0.12</v>
      </c>
      <c r="I78">
        <f t="shared" si="8"/>
        <v>407.58993600000002</v>
      </c>
      <c r="J78" s="8">
        <f>A78+VLOOKUP(B78,Proveedores!$A$2:$D$11,4,FALSE)</f>
        <v>46023</v>
      </c>
    </row>
    <row r="79" spans="1:10" x14ac:dyDescent="0.3">
      <c r="A79" s="2">
        <v>45980</v>
      </c>
      <c r="B79" t="s">
        <v>22</v>
      </c>
      <c r="C79" t="s">
        <v>111</v>
      </c>
      <c r="D79">
        <v>2791.64</v>
      </c>
      <c r="E79">
        <f t="shared" si="6"/>
        <v>502.49519999999995</v>
      </c>
      <c r="F79">
        <f t="shared" si="7"/>
        <v>3294.1351999999997</v>
      </c>
      <c r="G79" t="s">
        <v>33</v>
      </c>
      <c r="H79">
        <f>VLOOKUP(B79,Proveedores!$A$2:$D$11,3,FALSE)</f>
        <v>0.12</v>
      </c>
      <c r="I79">
        <f t="shared" si="8"/>
        <v>395.29622399999994</v>
      </c>
      <c r="J79" s="8">
        <f>A79+VLOOKUP(B79,Proveedores!$A$2:$D$11,4,FALSE)</f>
        <v>46010</v>
      </c>
    </row>
    <row r="80" spans="1:10" x14ac:dyDescent="0.3">
      <c r="A80" s="2">
        <v>46002</v>
      </c>
      <c r="B80" t="s">
        <v>12</v>
      </c>
      <c r="C80" t="s">
        <v>112</v>
      </c>
      <c r="D80">
        <v>1989.86</v>
      </c>
      <c r="E80">
        <f t="shared" si="6"/>
        <v>358.17479999999995</v>
      </c>
      <c r="F80">
        <f t="shared" si="7"/>
        <v>2348.0347999999999</v>
      </c>
      <c r="G80" t="s">
        <v>37</v>
      </c>
      <c r="H80">
        <f>VLOOKUP(B80,Proveedores!$A$2:$D$11,3,FALSE)</f>
        <v>0.12</v>
      </c>
      <c r="I80">
        <f t="shared" si="8"/>
        <v>0</v>
      </c>
      <c r="J80" s="8">
        <f>A80+VLOOKUP(B80,Proveedores!$A$2:$D$11,4,FALSE)</f>
        <v>46017</v>
      </c>
    </row>
    <row r="81" spans="1:10" x14ac:dyDescent="0.3">
      <c r="A81" s="2">
        <v>46016</v>
      </c>
      <c r="B81" t="s">
        <v>4</v>
      </c>
      <c r="C81" t="s">
        <v>113</v>
      </c>
      <c r="D81">
        <v>2500</v>
      </c>
      <c r="E81">
        <f t="shared" si="6"/>
        <v>450</v>
      </c>
      <c r="F81">
        <f t="shared" si="7"/>
        <v>2950</v>
      </c>
      <c r="G81" t="s">
        <v>37</v>
      </c>
      <c r="H81">
        <f>VLOOKUP(B81,Proveedores!$A$2:$D$11,3,FALSE)</f>
        <v>0.1</v>
      </c>
      <c r="I81">
        <f t="shared" si="8"/>
        <v>0</v>
      </c>
      <c r="J81" s="8">
        <f>A81+VLOOKUP(B81,Proveedores!$A$2:$D$11,4,FALSE)</f>
        <v>46046</v>
      </c>
    </row>
    <row r="82" spans="1:10" x14ac:dyDescent="0.3">
      <c r="A82" s="2">
        <v>45964</v>
      </c>
      <c r="B82" t="s">
        <v>4</v>
      </c>
      <c r="C82" t="s">
        <v>114</v>
      </c>
      <c r="D82">
        <v>2978.92</v>
      </c>
      <c r="E82">
        <f t="shared" si="6"/>
        <v>536.2056</v>
      </c>
      <c r="F82">
        <f t="shared" si="7"/>
        <v>3515.1256000000003</v>
      </c>
      <c r="G82" t="s">
        <v>33</v>
      </c>
      <c r="H82">
        <f>VLOOKUP(B82,Proveedores!$A$2:$D$11,3,FALSE)</f>
        <v>0.1</v>
      </c>
      <c r="I82">
        <f t="shared" si="8"/>
        <v>351.51256000000006</v>
      </c>
      <c r="J82" s="8">
        <f>A82+VLOOKUP(B82,Proveedores!$A$2:$D$11,4,FALSE)</f>
        <v>45994</v>
      </c>
    </row>
    <row r="83" spans="1:10" x14ac:dyDescent="0.3">
      <c r="A83" s="2">
        <v>45978</v>
      </c>
      <c r="B83" t="s">
        <v>8</v>
      </c>
      <c r="C83" t="s">
        <v>115</v>
      </c>
      <c r="D83">
        <v>1826.42</v>
      </c>
      <c r="E83">
        <f t="shared" si="6"/>
        <v>328.75560000000002</v>
      </c>
      <c r="F83">
        <f t="shared" si="7"/>
        <v>2155.1756</v>
      </c>
      <c r="G83" t="s">
        <v>37</v>
      </c>
      <c r="H83">
        <f>VLOOKUP(B83,Proveedores!$A$2:$D$11,3,FALSE)</f>
        <v>0</v>
      </c>
      <c r="I83">
        <f t="shared" si="8"/>
        <v>0</v>
      </c>
      <c r="J83" s="8">
        <f>A83+VLOOKUP(B83,Proveedores!$A$2:$D$11,4,FALSE)</f>
        <v>46008</v>
      </c>
    </row>
    <row r="84" spans="1:10" x14ac:dyDescent="0.3">
      <c r="A84" s="2">
        <v>46007</v>
      </c>
      <c r="B84" t="s">
        <v>16</v>
      </c>
      <c r="C84" t="s">
        <v>116</v>
      </c>
      <c r="D84">
        <v>313.83999999999997</v>
      </c>
      <c r="E84">
        <f t="shared" si="6"/>
        <v>56.491199999999992</v>
      </c>
      <c r="F84">
        <f t="shared" si="7"/>
        <v>370.33119999999997</v>
      </c>
      <c r="G84" t="s">
        <v>33</v>
      </c>
      <c r="H84">
        <f>VLOOKUP(B84,Proveedores!$A$2:$D$11,3,FALSE)</f>
        <v>0.04</v>
      </c>
      <c r="I84">
        <f t="shared" si="8"/>
        <v>14.813248</v>
      </c>
      <c r="J84" s="8">
        <f>A84+VLOOKUP(B84,Proveedores!$A$2:$D$11,4,FALSE)</f>
        <v>46037</v>
      </c>
    </row>
    <row r="85" spans="1:10" x14ac:dyDescent="0.3">
      <c r="A85" s="2">
        <v>46018</v>
      </c>
      <c r="B85" t="s">
        <v>8</v>
      </c>
      <c r="C85" t="s">
        <v>117</v>
      </c>
      <c r="D85">
        <v>406.1</v>
      </c>
      <c r="E85">
        <f t="shared" si="6"/>
        <v>73.097999999999999</v>
      </c>
      <c r="F85">
        <f t="shared" si="7"/>
        <v>479.19800000000004</v>
      </c>
      <c r="G85" t="s">
        <v>37</v>
      </c>
      <c r="H85">
        <f>VLOOKUP(B85,Proveedores!$A$2:$D$11,3,FALSE)</f>
        <v>0</v>
      </c>
      <c r="I85">
        <f t="shared" si="8"/>
        <v>0</v>
      </c>
      <c r="J85" s="8">
        <f>A85+VLOOKUP(B85,Proveedores!$A$2:$D$11,4,FALSE)</f>
        <v>46048</v>
      </c>
    </row>
    <row r="86" spans="1:10" x14ac:dyDescent="0.3">
      <c r="A86" s="2">
        <v>45985</v>
      </c>
      <c r="B86" t="s">
        <v>22</v>
      </c>
      <c r="C86" t="s">
        <v>118</v>
      </c>
      <c r="D86">
        <v>798.33</v>
      </c>
      <c r="E86">
        <f t="shared" si="6"/>
        <v>143.6994</v>
      </c>
      <c r="F86">
        <f t="shared" si="7"/>
        <v>942.02940000000001</v>
      </c>
      <c r="G86" t="s">
        <v>33</v>
      </c>
      <c r="H86">
        <f>VLOOKUP(B86,Proveedores!$A$2:$D$11,3,FALSE)</f>
        <v>0.12</v>
      </c>
      <c r="I86">
        <f t="shared" si="8"/>
        <v>113.04352799999999</v>
      </c>
      <c r="J86" s="8">
        <f>A86+VLOOKUP(B86,Proveedores!$A$2:$D$11,4,FALSE)</f>
        <v>46015</v>
      </c>
    </row>
    <row r="87" spans="1:10" x14ac:dyDescent="0.3">
      <c r="A87" s="2">
        <v>45981</v>
      </c>
      <c r="B87" t="s">
        <v>14</v>
      </c>
      <c r="C87" t="s">
        <v>119</v>
      </c>
      <c r="D87">
        <v>3426.24</v>
      </c>
      <c r="E87">
        <f t="shared" si="6"/>
        <v>616.72319999999991</v>
      </c>
      <c r="F87">
        <f t="shared" si="7"/>
        <v>4042.9631999999997</v>
      </c>
      <c r="G87" t="s">
        <v>37</v>
      </c>
      <c r="H87">
        <f>VLOOKUP(B87,Proveedores!$A$2:$D$11,3,FALSE)</f>
        <v>0</v>
      </c>
      <c r="I87">
        <f t="shared" si="8"/>
        <v>0</v>
      </c>
      <c r="J87" s="8">
        <f>A87+VLOOKUP(B87,Proveedores!$A$2:$D$11,4,FALSE)</f>
        <v>46011</v>
      </c>
    </row>
    <row r="88" spans="1:10" x14ac:dyDescent="0.3">
      <c r="A88" s="2">
        <v>45975</v>
      </c>
      <c r="B88" t="s">
        <v>10</v>
      </c>
      <c r="C88" t="s">
        <v>120</v>
      </c>
      <c r="D88">
        <v>639.78</v>
      </c>
      <c r="E88">
        <f t="shared" si="6"/>
        <v>115.1604</v>
      </c>
      <c r="F88">
        <f t="shared" si="7"/>
        <v>754.94039999999995</v>
      </c>
      <c r="G88" t="s">
        <v>37</v>
      </c>
      <c r="H88">
        <f>VLOOKUP(B88,Proveedores!$A$2:$D$11,3,FALSE)</f>
        <v>0.1</v>
      </c>
      <c r="I88">
        <f t="shared" si="8"/>
        <v>0</v>
      </c>
      <c r="J88" s="8">
        <f>A88+VLOOKUP(B88,Proveedores!$A$2:$D$11,4,FALSE)</f>
        <v>46005</v>
      </c>
    </row>
    <row r="89" spans="1:10" x14ac:dyDescent="0.3">
      <c r="A89" s="2">
        <v>46018</v>
      </c>
      <c r="B89" t="s">
        <v>16</v>
      </c>
      <c r="C89" t="s">
        <v>121</v>
      </c>
      <c r="D89">
        <v>2903.17</v>
      </c>
      <c r="E89">
        <f t="shared" si="6"/>
        <v>522.57060000000001</v>
      </c>
      <c r="F89">
        <f t="shared" si="7"/>
        <v>3425.7406000000001</v>
      </c>
      <c r="G89" t="s">
        <v>37</v>
      </c>
      <c r="H89">
        <f>VLOOKUP(B89,Proveedores!$A$2:$D$11,3,FALSE)</f>
        <v>0.04</v>
      </c>
      <c r="I89">
        <f t="shared" si="8"/>
        <v>0</v>
      </c>
      <c r="J89" s="8">
        <f>A89+VLOOKUP(B89,Proveedores!$A$2:$D$11,4,FALSE)</f>
        <v>46048</v>
      </c>
    </row>
    <row r="90" spans="1:10" x14ac:dyDescent="0.3">
      <c r="A90" s="2">
        <v>45977</v>
      </c>
      <c r="B90" t="s">
        <v>8</v>
      </c>
      <c r="C90" t="s">
        <v>122</v>
      </c>
      <c r="D90">
        <v>3364.96</v>
      </c>
      <c r="E90">
        <f t="shared" si="6"/>
        <v>605.69280000000003</v>
      </c>
      <c r="F90">
        <f t="shared" si="7"/>
        <v>3970.6527999999998</v>
      </c>
      <c r="G90" t="s">
        <v>37</v>
      </c>
      <c r="H90">
        <f>VLOOKUP(B90,Proveedores!$A$2:$D$11,3,FALSE)</f>
        <v>0</v>
      </c>
      <c r="I90">
        <f t="shared" si="8"/>
        <v>0</v>
      </c>
      <c r="J90" s="8">
        <f>A90+VLOOKUP(B90,Proveedores!$A$2:$D$11,4,FALSE)</f>
        <v>46007</v>
      </c>
    </row>
    <row r="91" spans="1:10" x14ac:dyDescent="0.3">
      <c r="A91" s="2">
        <v>45963</v>
      </c>
      <c r="B91" t="s">
        <v>8</v>
      </c>
      <c r="C91" t="s">
        <v>123</v>
      </c>
      <c r="D91">
        <v>3515.71</v>
      </c>
      <c r="E91">
        <f t="shared" si="6"/>
        <v>632.82780000000002</v>
      </c>
      <c r="F91">
        <f t="shared" si="7"/>
        <v>4148.5378000000001</v>
      </c>
      <c r="G91" t="s">
        <v>37</v>
      </c>
      <c r="H91">
        <f>VLOOKUP(B91,Proveedores!$A$2:$D$11,3,FALSE)</f>
        <v>0</v>
      </c>
      <c r="I91">
        <f t="shared" si="8"/>
        <v>0</v>
      </c>
      <c r="J91" s="8">
        <f>A91+VLOOKUP(B91,Proveedores!$A$2:$D$11,4,FALSE)</f>
        <v>45993</v>
      </c>
    </row>
  </sheetData>
  <conditionalFormatting sqref="J2:J91">
    <cfRule type="cellIs" dxfId="0" priority="1" operator="lessThan">
      <formula>TODAY()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14" customWidth="1"/>
    <col min="4" max="5" width="12" customWidth="1"/>
    <col min="6" max="6" width="10" customWidth="1"/>
    <col min="7" max="7" width="12" customWidth="1"/>
  </cols>
  <sheetData>
    <row r="1" spans="1:7" x14ac:dyDescent="0.3">
      <c r="A1" s="1" t="s">
        <v>25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x14ac:dyDescent="0.3">
      <c r="A2" t="s">
        <v>48</v>
      </c>
      <c r="B2" s="2">
        <v>46057</v>
      </c>
      <c r="C2" t="s">
        <v>130</v>
      </c>
      <c r="D2">
        <f>E2</f>
        <v>1859.2434000000001</v>
      </c>
      <c r="E2">
        <f>VLOOKUP(A2,Facturas!$C$2:$F$91,4,FALSE)</f>
        <v>1859.2434000000001</v>
      </c>
      <c r="F2">
        <f t="shared" ref="F2:F41" si="0">E2-D2</f>
        <v>0</v>
      </c>
      <c r="G2" t="str">
        <f t="shared" ref="G2:G41" si="1">IF(F2&lt;=0,"Pagado","Parcial")</f>
        <v>Pagado</v>
      </c>
    </row>
    <row r="3" spans="1:7" x14ac:dyDescent="0.3">
      <c r="A3" t="s">
        <v>95</v>
      </c>
      <c r="B3" s="2">
        <v>46043</v>
      </c>
      <c r="C3" t="s">
        <v>131</v>
      </c>
      <c r="D3">
        <f>E3</f>
        <v>3419.5337999999997</v>
      </c>
      <c r="E3">
        <f>VLOOKUP(A3,Facturas!$C$2:$F$91,4,FALSE)</f>
        <v>3419.5337999999997</v>
      </c>
      <c r="F3">
        <f t="shared" si="0"/>
        <v>0</v>
      </c>
      <c r="G3" t="str">
        <f t="shared" si="1"/>
        <v>Pagado</v>
      </c>
    </row>
    <row r="4" spans="1:7" x14ac:dyDescent="0.3">
      <c r="A4" t="s">
        <v>39</v>
      </c>
      <c r="B4" s="2">
        <v>46017</v>
      </c>
      <c r="C4" t="s">
        <v>130</v>
      </c>
      <c r="D4">
        <f>E4</f>
        <v>3464.2793999999999</v>
      </c>
      <c r="E4">
        <f>VLOOKUP(A4,Facturas!$C$2:$F$91,4,FALSE)</f>
        <v>3464.2793999999999</v>
      </c>
      <c r="F4">
        <f t="shared" si="0"/>
        <v>0</v>
      </c>
      <c r="G4" t="str">
        <f t="shared" si="1"/>
        <v>Pagado</v>
      </c>
    </row>
    <row r="5" spans="1:7" x14ac:dyDescent="0.3">
      <c r="A5" t="s">
        <v>100</v>
      </c>
      <c r="B5" s="2">
        <v>45992</v>
      </c>
      <c r="C5" t="s">
        <v>130</v>
      </c>
      <c r="D5">
        <v>1024.72</v>
      </c>
      <c r="E5">
        <f>VLOOKUP(A5,Facturas!$C$2:$F$91,4,FALSE)</f>
        <v>494.53800000000001</v>
      </c>
      <c r="F5">
        <f t="shared" si="0"/>
        <v>-530.18200000000002</v>
      </c>
      <c r="G5" t="str">
        <f t="shared" si="1"/>
        <v>Pagado</v>
      </c>
    </row>
    <row r="6" spans="1:7" x14ac:dyDescent="0.3">
      <c r="A6" t="s">
        <v>113</v>
      </c>
      <c r="B6" s="2">
        <v>46061</v>
      </c>
      <c r="C6" t="s">
        <v>130</v>
      </c>
      <c r="D6">
        <f>E6</f>
        <v>2950</v>
      </c>
      <c r="E6">
        <f>VLOOKUP(A6,Facturas!$C$2:$F$91,4,FALSE)</f>
        <v>2950</v>
      </c>
      <c r="F6">
        <f t="shared" si="0"/>
        <v>0</v>
      </c>
      <c r="G6" t="str">
        <f t="shared" si="1"/>
        <v>Pagado</v>
      </c>
    </row>
    <row r="7" spans="1:7" x14ac:dyDescent="0.3">
      <c r="A7" t="s">
        <v>93</v>
      </c>
      <c r="B7" s="2">
        <v>46032</v>
      </c>
      <c r="C7" t="s">
        <v>130</v>
      </c>
      <c r="D7">
        <f>E7</f>
        <v>3297.4273999999996</v>
      </c>
      <c r="E7">
        <f>VLOOKUP(A7,Facturas!$C$2:$F$91,4,FALSE)</f>
        <v>3297.4273999999996</v>
      </c>
      <c r="F7">
        <f t="shared" si="0"/>
        <v>0</v>
      </c>
      <c r="G7" t="str">
        <f t="shared" si="1"/>
        <v>Pagado</v>
      </c>
    </row>
    <row r="8" spans="1:7" x14ac:dyDescent="0.3">
      <c r="A8" t="s">
        <v>102</v>
      </c>
      <c r="B8" s="2">
        <v>45992</v>
      </c>
      <c r="C8" t="s">
        <v>132</v>
      </c>
      <c r="D8">
        <v>591.75</v>
      </c>
      <c r="E8">
        <f>VLOOKUP(A8,Facturas!$C$2:$F$91,4,FALSE)</f>
        <v>1427.3870000000002</v>
      </c>
      <c r="F8">
        <f t="shared" si="0"/>
        <v>835.63700000000017</v>
      </c>
      <c r="G8" t="str">
        <f t="shared" si="1"/>
        <v>Parcial</v>
      </c>
    </row>
    <row r="9" spans="1:7" x14ac:dyDescent="0.3">
      <c r="A9" t="s">
        <v>91</v>
      </c>
      <c r="B9" s="2">
        <v>46054</v>
      </c>
      <c r="C9" t="s">
        <v>130</v>
      </c>
      <c r="D9">
        <f>E9</f>
        <v>1895.5638000000001</v>
      </c>
      <c r="E9">
        <f>VLOOKUP(A9,Facturas!$C$2:$F$91,4,FALSE)</f>
        <v>1895.5638000000001</v>
      </c>
      <c r="F9">
        <f t="shared" si="0"/>
        <v>0</v>
      </c>
      <c r="G9" t="str">
        <f t="shared" si="1"/>
        <v>Pagado</v>
      </c>
    </row>
    <row r="10" spans="1:7" x14ac:dyDescent="0.3">
      <c r="A10" t="s">
        <v>49</v>
      </c>
      <c r="B10" s="2">
        <v>45984</v>
      </c>
      <c r="C10" t="s">
        <v>131</v>
      </c>
      <c r="D10">
        <f>E10</f>
        <v>4198.7821999999996</v>
      </c>
      <c r="E10">
        <f>VLOOKUP(A10,Facturas!$C$2:$F$91,4,FALSE)</f>
        <v>4198.7821999999996</v>
      </c>
      <c r="F10">
        <f t="shared" si="0"/>
        <v>0</v>
      </c>
      <c r="G10" t="str">
        <f t="shared" si="1"/>
        <v>Pagado</v>
      </c>
    </row>
    <row r="11" spans="1:7" x14ac:dyDescent="0.3">
      <c r="A11" t="s">
        <v>110</v>
      </c>
      <c r="B11" s="2">
        <v>46023</v>
      </c>
      <c r="C11" t="s">
        <v>130</v>
      </c>
      <c r="D11">
        <v>1314.17</v>
      </c>
      <c r="E11">
        <f>VLOOKUP(A11,Facturas!$C$2:$F$91,4,FALSE)</f>
        <v>3396.5828000000001</v>
      </c>
      <c r="F11">
        <f t="shared" si="0"/>
        <v>2082.4128000000001</v>
      </c>
      <c r="G11" t="str">
        <f t="shared" si="1"/>
        <v>Parcial</v>
      </c>
    </row>
    <row r="12" spans="1:7" x14ac:dyDescent="0.3">
      <c r="A12" t="s">
        <v>51</v>
      </c>
      <c r="B12" s="2">
        <v>46008</v>
      </c>
      <c r="C12" t="s">
        <v>131</v>
      </c>
      <c r="D12">
        <v>1249.69</v>
      </c>
      <c r="E12">
        <f>VLOOKUP(A12,Facturas!$C$2:$F$91,4,FALSE)</f>
        <v>1445.2875999999999</v>
      </c>
      <c r="F12">
        <f t="shared" si="0"/>
        <v>195.59759999999983</v>
      </c>
      <c r="G12" t="str">
        <f t="shared" si="1"/>
        <v>Parcial</v>
      </c>
    </row>
    <row r="13" spans="1:7" x14ac:dyDescent="0.3">
      <c r="A13" t="s">
        <v>79</v>
      </c>
      <c r="B13" s="2">
        <v>45967</v>
      </c>
      <c r="C13" t="s">
        <v>132</v>
      </c>
      <c r="D13">
        <f>E13</f>
        <v>2936.8548000000001</v>
      </c>
      <c r="E13">
        <f>VLOOKUP(A13,Facturas!$C$2:$F$91,4,FALSE)</f>
        <v>2936.8548000000001</v>
      </c>
      <c r="F13">
        <f t="shared" si="0"/>
        <v>0</v>
      </c>
      <c r="G13" t="str">
        <f t="shared" si="1"/>
        <v>Pagado</v>
      </c>
    </row>
    <row r="14" spans="1:7" x14ac:dyDescent="0.3">
      <c r="A14" t="s">
        <v>52</v>
      </c>
      <c r="B14" s="2">
        <v>46025</v>
      </c>
      <c r="C14" t="s">
        <v>132</v>
      </c>
      <c r="D14">
        <f>E14</f>
        <v>3157.857</v>
      </c>
      <c r="E14">
        <f>VLOOKUP(A14,Facturas!$C$2:$F$91,4,FALSE)</f>
        <v>3157.857</v>
      </c>
      <c r="F14">
        <f t="shared" si="0"/>
        <v>0</v>
      </c>
      <c r="G14" t="str">
        <f t="shared" si="1"/>
        <v>Pagado</v>
      </c>
    </row>
    <row r="15" spans="1:7" x14ac:dyDescent="0.3">
      <c r="A15" t="s">
        <v>87</v>
      </c>
      <c r="B15" s="2">
        <v>46019</v>
      </c>
      <c r="C15" t="s">
        <v>130</v>
      </c>
      <c r="D15">
        <f>E15</f>
        <v>1480.7938000000001</v>
      </c>
      <c r="E15">
        <f>VLOOKUP(A15,Facturas!$C$2:$F$91,4,FALSE)</f>
        <v>1480.7938000000001</v>
      </c>
      <c r="F15">
        <f t="shared" si="0"/>
        <v>0</v>
      </c>
      <c r="G15" t="str">
        <f t="shared" si="1"/>
        <v>Pagado</v>
      </c>
    </row>
    <row r="16" spans="1:7" x14ac:dyDescent="0.3">
      <c r="A16" t="s">
        <v>77</v>
      </c>
      <c r="B16" s="2">
        <v>46030</v>
      </c>
      <c r="C16" t="s">
        <v>132</v>
      </c>
      <c r="D16">
        <f>E16</f>
        <v>1258.3992000000001</v>
      </c>
      <c r="E16">
        <f>VLOOKUP(A16,Facturas!$C$2:$F$91,4,FALSE)</f>
        <v>1258.3992000000001</v>
      </c>
      <c r="F16">
        <f t="shared" si="0"/>
        <v>0</v>
      </c>
      <c r="G16" t="str">
        <f t="shared" si="1"/>
        <v>Pagado</v>
      </c>
    </row>
    <row r="17" spans="1:7" x14ac:dyDescent="0.3">
      <c r="A17" t="s">
        <v>121</v>
      </c>
      <c r="B17" s="2">
        <v>46030</v>
      </c>
      <c r="C17" t="s">
        <v>131</v>
      </c>
      <c r="D17">
        <v>943.43</v>
      </c>
      <c r="E17">
        <f>VLOOKUP(A17,Facturas!$C$2:$F$91,4,FALSE)</f>
        <v>3425.7406000000001</v>
      </c>
      <c r="F17">
        <f t="shared" si="0"/>
        <v>2482.3106000000002</v>
      </c>
      <c r="G17" t="str">
        <f t="shared" si="1"/>
        <v>Parcial</v>
      </c>
    </row>
    <row r="18" spans="1:7" x14ac:dyDescent="0.3">
      <c r="A18" t="s">
        <v>117</v>
      </c>
      <c r="B18" s="2">
        <v>46056</v>
      </c>
      <c r="C18" t="s">
        <v>130</v>
      </c>
      <c r="D18">
        <f>E18</f>
        <v>479.19800000000004</v>
      </c>
      <c r="E18">
        <f>VLOOKUP(A18,Facturas!$C$2:$F$91,4,FALSE)</f>
        <v>479.19800000000004</v>
      </c>
      <c r="F18">
        <f t="shared" si="0"/>
        <v>0</v>
      </c>
      <c r="G18" t="str">
        <f t="shared" si="1"/>
        <v>Pagado</v>
      </c>
    </row>
    <row r="19" spans="1:7" x14ac:dyDescent="0.3">
      <c r="A19" t="s">
        <v>101</v>
      </c>
      <c r="B19" s="2">
        <v>46037</v>
      </c>
      <c r="C19" t="s">
        <v>130</v>
      </c>
      <c r="D19">
        <f>E19</f>
        <v>2489.4931999999999</v>
      </c>
      <c r="E19">
        <f>VLOOKUP(A19,Facturas!$C$2:$F$91,4,FALSE)</f>
        <v>2489.4931999999999</v>
      </c>
      <c r="F19">
        <f t="shared" si="0"/>
        <v>0</v>
      </c>
      <c r="G19" t="str">
        <f t="shared" si="1"/>
        <v>Pagado</v>
      </c>
    </row>
    <row r="20" spans="1:7" x14ac:dyDescent="0.3">
      <c r="A20" t="s">
        <v>60</v>
      </c>
      <c r="B20" s="2">
        <v>46002</v>
      </c>
      <c r="C20" t="s">
        <v>131</v>
      </c>
      <c r="D20">
        <f>E20</f>
        <v>2921.7507999999998</v>
      </c>
      <c r="E20">
        <f>VLOOKUP(A20,Facturas!$C$2:$F$91,4,FALSE)</f>
        <v>2921.7507999999998</v>
      </c>
      <c r="F20">
        <f t="shared" si="0"/>
        <v>0</v>
      </c>
      <c r="G20" t="str">
        <f t="shared" si="1"/>
        <v>Pagado</v>
      </c>
    </row>
    <row r="21" spans="1:7" x14ac:dyDescent="0.3">
      <c r="A21" t="s">
        <v>118</v>
      </c>
      <c r="B21" s="2">
        <v>46025</v>
      </c>
      <c r="C21" t="s">
        <v>131</v>
      </c>
      <c r="D21">
        <f>E21</f>
        <v>942.02940000000001</v>
      </c>
      <c r="E21">
        <f>VLOOKUP(A21,Facturas!$C$2:$F$91,4,FALSE)</f>
        <v>942.02940000000001</v>
      </c>
      <c r="F21">
        <f t="shared" si="0"/>
        <v>0</v>
      </c>
      <c r="G21" t="str">
        <f t="shared" si="1"/>
        <v>Pagado</v>
      </c>
    </row>
    <row r="22" spans="1:7" x14ac:dyDescent="0.3">
      <c r="A22" t="s">
        <v>84</v>
      </c>
      <c r="B22" s="2">
        <v>46019</v>
      </c>
      <c r="C22" t="s">
        <v>131</v>
      </c>
      <c r="D22">
        <v>595.58000000000004</v>
      </c>
      <c r="E22">
        <f>VLOOKUP(A22,Facturas!$C$2:$F$91,4,FALSE)</f>
        <v>2259.2161999999998</v>
      </c>
      <c r="F22">
        <f t="shared" si="0"/>
        <v>1663.6361999999999</v>
      </c>
      <c r="G22" t="str">
        <f t="shared" si="1"/>
        <v>Parcial</v>
      </c>
    </row>
    <row r="23" spans="1:7" x14ac:dyDescent="0.3">
      <c r="A23" t="s">
        <v>74</v>
      </c>
      <c r="B23" s="2">
        <v>46062</v>
      </c>
      <c r="C23" t="s">
        <v>131</v>
      </c>
      <c r="D23">
        <f>E23</f>
        <v>4313.2186000000002</v>
      </c>
      <c r="E23">
        <f>VLOOKUP(A23,Facturas!$C$2:$F$91,4,FALSE)</f>
        <v>4313.2186000000002</v>
      </c>
      <c r="F23">
        <f t="shared" si="0"/>
        <v>0</v>
      </c>
      <c r="G23" t="str">
        <f t="shared" si="1"/>
        <v>Pagado</v>
      </c>
    </row>
    <row r="24" spans="1:7" x14ac:dyDescent="0.3">
      <c r="A24" t="s">
        <v>43</v>
      </c>
      <c r="B24" s="2">
        <v>46051</v>
      </c>
      <c r="C24" t="s">
        <v>131</v>
      </c>
      <c r="D24">
        <f>E24</f>
        <v>2227.8281999999999</v>
      </c>
      <c r="E24">
        <f>VLOOKUP(A24,Facturas!$C$2:$F$91,4,FALSE)</f>
        <v>2227.8281999999999</v>
      </c>
      <c r="F24">
        <f t="shared" si="0"/>
        <v>0</v>
      </c>
      <c r="G24" t="str">
        <f t="shared" si="1"/>
        <v>Pagado</v>
      </c>
    </row>
    <row r="25" spans="1:7" x14ac:dyDescent="0.3">
      <c r="A25" t="s">
        <v>97</v>
      </c>
      <c r="B25" s="2">
        <v>46017</v>
      </c>
      <c r="C25" t="s">
        <v>131</v>
      </c>
      <c r="D25">
        <v>657.17</v>
      </c>
      <c r="E25">
        <f>VLOOKUP(A25,Facturas!$C$2:$F$91,4,FALSE)</f>
        <v>4298.4214000000002</v>
      </c>
      <c r="F25">
        <f t="shared" si="0"/>
        <v>3641.2514000000001</v>
      </c>
      <c r="G25" t="str">
        <f t="shared" si="1"/>
        <v>Parcial</v>
      </c>
    </row>
    <row r="26" spans="1:7" x14ac:dyDescent="0.3">
      <c r="A26" t="s">
        <v>107</v>
      </c>
      <c r="B26" s="2">
        <v>46037</v>
      </c>
      <c r="C26" t="s">
        <v>131</v>
      </c>
      <c r="D26">
        <f>E26</f>
        <v>1579.7957999999999</v>
      </c>
      <c r="E26">
        <f>VLOOKUP(A26,Facturas!$C$2:$F$91,4,FALSE)</f>
        <v>1579.7957999999999</v>
      </c>
      <c r="F26">
        <f t="shared" si="0"/>
        <v>0</v>
      </c>
      <c r="G26" t="str">
        <f t="shared" si="1"/>
        <v>Pagado</v>
      </c>
    </row>
    <row r="27" spans="1:7" x14ac:dyDescent="0.3">
      <c r="A27" t="s">
        <v>109</v>
      </c>
      <c r="B27" s="2">
        <v>46036</v>
      </c>
      <c r="C27" t="s">
        <v>132</v>
      </c>
      <c r="D27">
        <v>570.02</v>
      </c>
      <c r="E27">
        <f>VLOOKUP(A27,Facturas!$C$2:$F$91,4,FALSE)</f>
        <v>758.20899999999995</v>
      </c>
      <c r="F27">
        <f t="shared" si="0"/>
        <v>188.18899999999996</v>
      </c>
      <c r="G27" t="str">
        <f t="shared" si="1"/>
        <v>Parcial</v>
      </c>
    </row>
    <row r="28" spans="1:7" x14ac:dyDescent="0.3">
      <c r="A28" t="s">
        <v>108</v>
      </c>
      <c r="B28" s="2">
        <v>46062</v>
      </c>
      <c r="C28" t="s">
        <v>132</v>
      </c>
      <c r="D28">
        <f>E28</f>
        <v>3088.6736000000001</v>
      </c>
      <c r="E28">
        <f>VLOOKUP(A28,Facturas!$C$2:$F$91,4,FALSE)</f>
        <v>3088.6736000000001</v>
      </c>
      <c r="F28">
        <f t="shared" si="0"/>
        <v>0</v>
      </c>
      <c r="G28" t="str">
        <f t="shared" si="1"/>
        <v>Pagado</v>
      </c>
    </row>
    <row r="29" spans="1:7" x14ac:dyDescent="0.3">
      <c r="A29" t="s">
        <v>53</v>
      </c>
      <c r="B29" s="2">
        <v>46024</v>
      </c>
      <c r="C29" t="s">
        <v>131</v>
      </c>
      <c r="D29">
        <f>E29</f>
        <v>3724.4458</v>
      </c>
      <c r="E29">
        <f>VLOOKUP(A29,Facturas!$C$2:$F$91,4,FALSE)</f>
        <v>3724.4458</v>
      </c>
      <c r="F29">
        <f t="shared" si="0"/>
        <v>0</v>
      </c>
      <c r="G29" t="str">
        <f t="shared" si="1"/>
        <v>Pagado</v>
      </c>
    </row>
    <row r="30" spans="1:7" x14ac:dyDescent="0.3">
      <c r="A30" t="s">
        <v>44</v>
      </c>
      <c r="B30" s="2">
        <v>46025</v>
      </c>
      <c r="C30" t="s">
        <v>131</v>
      </c>
      <c r="D30">
        <f>E30</f>
        <v>1541.2215999999999</v>
      </c>
      <c r="E30">
        <f>VLOOKUP(A30,Facturas!$C$2:$F$91,4,FALSE)</f>
        <v>1541.2215999999999</v>
      </c>
      <c r="F30">
        <f t="shared" si="0"/>
        <v>0</v>
      </c>
      <c r="G30" t="str">
        <f t="shared" si="1"/>
        <v>Pagado</v>
      </c>
    </row>
    <row r="31" spans="1:7" x14ac:dyDescent="0.3">
      <c r="A31" t="s">
        <v>55</v>
      </c>
      <c r="B31" s="2">
        <v>46036</v>
      </c>
      <c r="C31" t="s">
        <v>131</v>
      </c>
      <c r="D31">
        <f>E31</f>
        <v>3037.3671999999997</v>
      </c>
      <c r="E31">
        <f>VLOOKUP(A31,Facturas!$C$2:$F$91,4,FALSE)</f>
        <v>3037.3671999999997</v>
      </c>
      <c r="F31">
        <f t="shared" si="0"/>
        <v>0</v>
      </c>
      <c r="G31" t="str">
        <f t="shared" si="1"/>
        <v>Pagado</v>
      </c>
    </row>
    <row r="32" spans="1:7" x14ac:dyDescent="0.3">
      <c r="A32" t="s">
        <v>64</v>
      </c>
      <c r="B32" s="2">
        <v>46038</v>
      </c>
      <c r="C32" t="s">
        <v>130</v>
      </c>
      <c r="D32">
        <v>1609.05</v>
      </c>
      <c r="E32">
        <f>VLOOKUP(A32,Facturas!$C$2:$F$91,4,FALSE)</f>
        <v>1735.3197999999998</v>
      </c>
      <c r="F32">
        <f t="shared" si="0"/>
        <v>126.2697999999998</v>
      </c>
      <c r="G32" t="str">
        <f t="shared" si="1"/>
        <v>Parcial</v>
      </c>
    </row>
    <row r="33" spans="1:7" x14ac:dyDescent="0.3">
      <c r="A33" t="s">
        <v>116</v>
      </c>
      <c r="B33" s="2">
        <v>46048</v>
      </c>
      <c r="C33" t="s">
        <v>131</v>
      </c>
      <c r="D33">
        <f>E33</f>
        <v>370.33119999999997</v>
      </c>
      <c r="E33">
        <f>VLOOKUP(A33,Facturas!$C$2:$F$91,4,FALSE)</f>
        <v>370.33119999999997</v>
      </c>
      <c r="F33">
        <f t="shared" si="0"/>
        <v>0</v>
      </c>
      <c r="G33" t="str">
        <f t="shared" si="1"/>
        <v>Pagado</v>
      </c>
    </row>
    <row r="34" spans="1:7" x14ac:dyDescent="0.3">
      <c r="A34" t="s">
        <v>83</v>
      </c>
      <c r="B34" s="2">
        <v>46040</v>
      </c>
      <c r="C34" t="s">
        <v>131</v>
      </c>
      <c r="D34">
        <f>E34</f>
        <v>719.96519999999998</v>
      </c>
      <c r="E34">
        <f>VLOOKUP(A34,Facturas!$C$2:$F$91,4,FALSE)</f>
        <v>719.96519999999998</v>
      </c>
      <c r="F34">
        <f t="shared" si="0"/>
        <v>0</v>
      </c>
      <c r="G34" t="str">
        <f t="shared" si="1"/>
        <v>Pagado</v>
      </c>
    </row>
    <row r="35" spans="1:7" x14ac:dyDescent="0.3">
      <c r="A35" t="s">
        <v>57</v>
      </c>
      <c r="B35" s="2">
        <v>46028</v>
      </c>
      <c r="C35" t="s">
        <v>130</v>
      </c>
      <c r="D35">
        <f>E35</f>
        <v>3415.5690000000004</v>
      </c>
      <c r="E35">
        <f>VLOOKUP(A35,Facturas!$C$2:$F$91,4,FALSE)</f>
        <v>3415.5690000000004</v>
      </c>
      <c r="F35">
        <f t="shared" si="0"/>
        <v>0</v>
      </c>
      <c r="G35" t="str">
        <f t="shared" si="1"/>
        <v>Pagado</v>
      </c>
    </row>
    <row r="36" spans="1:7" x14ac:dyDescent="0.3">
      <c r="A36" t="s">
        <v>75</v>
      </c>
      <c r="B36" s="2">
        <v>46049</v>
      </c>
      <c r="C36" t="s">
        <v>130</v>
      </c>
      <c r="D36">
        <f>E36</f>
        <v>1617.7918</v>
      </c>
      <c r="E36">
        <f>VLOOKUP(A36,Facturas!$C$2:$F$91,4,FALSE)</f>
        <v>1617.7918</v>
      </c>
      <c r="F36">
        <f t="shared" si="0"/>
        <v>0</v>
      </c>
      <c r="G36" t="str">
        <f t="shared" si="1"/>
        <v>Pagado</v>
      </c>
    </row>
    <row r="37" spans="1:7" x14ac:dyDescent="0.3">
      <c r="A37" t="s">
        <v>120</v>
      </c>
      <c r="B37" s="2">
        <v>46011</v>
      </c>
      <c r="C37" t="s">
        <v>132</v>
      </c>
      <c r="D37">
        <v>977.03</v>
      </c>
      <c r="E37">
        <f>VLOOKUP(A37,Facturas!$C$2:$F$91,4,FALSE)</f>
        <v>754.94039999999995</v>
      </c>
      <c r="F37">
        <f t="shared" si="0"/>
        <v>-222.08960000000002</v>
      </c>
      <c r="G37" t="str">
        <f t="shared" si="1"/>
        <v>Pagado</v>
      </c>
    </row>
    <row r="38" spans="1:7" x14ac:dyDescent="0.3">
      <c r="A38" t="s">
        <v>67</v>
      </c>
      <c r="B38" s="2">
        <v>45997</v>
      </c>
      <c r="C38" t="s">
        <v>131</v>
      </c>
      <c r="D38">
        <f>E38</f>
        <v>2427.0476000000003</v>
      </c>
      <c r="E38">
        <f>VLOOKUP(A38,Facturas!$C$2:$F$91,4,FALSE)</f>
        <v>2427.0476000000003</v>
      </c>
      <c r="F38">
        <f t="shared" si="0"/>
        <v>0</v>
      </c>
      <c r="G38" t="str">
        <f t="shared" si="1"/>
        <v>Pagado</v>
      </c>
    </row>
    <row r="39" spans="1:7" x14ac:dyDescent="0.3">
      <c r="A39" t="s">
        <v>32</v>
      </c>
      <c r="B39" s="2">
        <v>46032</v>
      </c>
      <c r="C39" t="s">
        <v>130</v>
      </c>
      <c r="D39">
        <v>947.82</v>
      </c>
      <c r="E39">
        <f>VLOOKUP(A39,Facturas!$C$2:$F$91,4,FALSE)</f>
        <v>3393.0073999999995</v>
      </c>
      <c r="F39">
        <f t="shared" si="0"/>
        <v>2445.1873999999993</v>
      </c>
      <c r="G39" t="str">
        <f t="shared" si="1"/>
        <v>Parcial</v>
      </c>
    </row>
    <row r="40" spans="1:7" x14ac:dyDescent="0.3">
      <c r="A40" t="s">
        <v>81</v>
      </c>
      <c r="B40" s="2">
        <v>46017</v>
      </c>
      <c r="C40" t="s">
        <v>130</v>
      </c>
      <c r="D40">
        <f>E40</f>
        <v>2557.4376000000002</v>
      </c>
      <c r="E40">
        <f>VLOOKUP(A40,Facturas!$C$2:$F$91,4,FALSE)</f>
        <v>2557.4376000000002</v>
      </c>
      <c r="F40">
        <f t="shared" si="0"/>
        <v>0</v>
      </c>
      <c r="G40" t="str">
        <f t="shared" si="1"/>
        <v>Pagado</v>
      </c>
    </row>
    <row r="41" spans="1:7" x14ac:dyDescent="0.3">
      <c r="A41" t="s">
        <v>88</v>
      </c>
      <c r="B41" s="2">
        <v>45996</v>
      </c>
      <c r="C41" t="s">
        <v>130</v>
      </c>
      <c r="D41">
        <f>E41</f>
        <v>734.76239999999996</v>
      </c>
      <c r="E41">
        <f>VLOOKUP(A41,Facturas!$C$2:$F$91,4,FALSE)</f>
        <v>734.76239999999996</v>
      </c>
      <c r="F41">
        <f t="shared" si="0"/>
        <v>0</v>
      </c>
      <c r="G41" t="str">
        <f t="shared" si="1"/>
        <v>Pagado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4" width="10" customWidth="1"/>
  </cols>
  <sheetData>
    <row r="1" spans="1:4" x14ac:dyDescent="0.3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3">
      <c r="A2" s="2">
        <v>45963</v>
      </c>
      <c r="B2" t="s">
        <v>137</v>
      </c>
      <c r="C2">
        <v>13.93</v>
      </c>
    </row>
    <row r="3" spans="1:4" x14ac:dyDescent="0.3">
      <c r="A3" s="2">
        <v>45967</v>
      </c>
      <c r="B3" t="s">
        <v>138</v>
      </c>
      <c r="C3">
        <f>E13</f>
        <v>0</v>
      </c>
    </row>
    <row r="4" spans="1:4" x14ac:dyDescent="0.3">
      <c r="A4" s="2">
        <v>45978</v>
      </c>
      <c r="B4" t="s">
        <v>137</v>
      </c>
      <c r="C4">
        <v>20.72</v>
      </c>
    </row>
    <row r="5" spans="1:4" x14ac:dyDescent="0.3">
      <c r="A5" s="2">
        <v>45984</v>
      </c>
      <c r="B5" t="s">
        <v>139</v>
      </c>
      <c r="C5">
        <f>E10</f>
        <v>0</v>
      </c>
    </row>
    <row r="6" spans="1:4" x14ac:dyDescent="0.3">
      <c r="A6" s="2">
        <v>45989</v>
      </c>
      <c r="B6" t="s">
        <v>137</v>
      </c>
      <c r="C6">
        <v>15.12</v>
      </c>
    </row>
    <row r="7" spans="1:4" x14ac:dyDescent="0.3">
      <c r="A7" s="2">
        <v>45991</v>
      </c>
      <c r="B7" t="s">
        <v>137</v>
      </c>
      <c r="C7">
        <v>16.18</v>
      </c>
    </row>
    <row r="8" spans="1:4" x14ac:dyDescent="0.3">
      <c r="A8" s="2">
        <v>45992</v>
      </c>
      <c r="B8" t="s">
        <v>140</v>
      </c>
      <c r="C8">
        <v>1024.72</v>
      </c>
    </row>
    <row r="9" spans="1:4" x14ac:dyDescent="0.3">
      <c r="A9" s="2">
        <v>45992</v>
      </c>
      <c r="B9" t="s">
        <v>141</v>
      </c>
      <c r="C9">
        <v>591.75</v>
      </c>
    </row>
    <row r="10" spans="1:4" x14ac:dyDescent="0.3">
      <c r="A10" s="2">
        <v>45996</v>
      </c>
      <c r="B10" t="s">
        <v>142</v>
      </c>
      <c r="C10">
        <f>E41</f>
        <v>0</v>
      </c>
    </row>
    <row r="11" spans="1:4" x14ac:dyDescent="0.3">
      <c r="A11" s="2">
        <v>45997</v>
      </c>
      <c r="B11" t="s">
        <v>143</v>
      </c>
      <c r="C11">
        <f>E38</f>
        <v>0</v>
      </c>
    </row>
    <row r="12" spans="1:4" x14ac:dyDescent="0.3">
      <c r="A12" s="2">
        <v>46002</v>
      </c>
      <c r="B12" t="s">
        <v>144</v>
      </c>
      <c r="C12">
        <f>E20</f>
        <v>0</v>
      </c>
    </row>
    <row r="13" spans="1:4" x14ac:dyDescent="0.3">
      <c r="A13" s="2">
        <v>46008</v>
      </c>
      <c r="B13" t="s">
        <v>145</v>
      </c>
      <c r="C13">
        <v>1249.69</v>
      </c>
    </row>
    <row r="14" spans="1:4" x14ac:dyDescent="0.3">
      <c r="A14" s="2">
        <v>46011</v>
      </c>
      <c r="B14" t="s">
        <v>146</v>
      </c>
      <c r="C14">
        <v>977.03</v>
      </c>
    </row>
    <row r="15" spans="1:4" x14ac:dyDescent="0.3">
      <c r="A15" s="2">
        <v>46016</v>
      </c>
      <c r="B15" t="s">
        <v>147</v>
      </c>
      <c r="C15">
        <v>608.75</v>
      </c>
    </row>
    <row r="16" spans="1:4" x14ac:dyDescent="0.3">
      <c r="A16" s="2">
        <v>46017</v>
      </c>
      <c r="B16" t="s">
        <v>148</v>
      </c>
      <c r="C16">
        <f>E4</f>
        <v>0</v>
      </c>
    </row>
    <row r="17" spans="1:3" x14ac:dyDescent="0.3">
      <c r="A17" s="2">
        <v>46017</v>
      </c>
      <c r="B17" t="s">
        <v>149</v>
      </c>
      <c r="C17">
        <v>657.17</v>
      </c>
    </row>
    <row r="18" spans="1:3" x14ac:dyDescent="0.3">
      <c r="A18" s="2">
        <v>46017</v>
      </c>
      <c r="B18" t="s">
        <v>150</v>
      </c>
      <c r="C18">
        <f>E40</f>
        <v>0</v>
      </c>
    </row>
    <row r="19" spans="1:3" x14ac:dyDescent="0.3">
      <c r="A19" s="2">
        <v>46019</v>
      </c>
      <c r="B19" t="s">
        <v>151</v>
      </c>
      <c r="C19">
        <f>E15</f>
        <v>0</v>
      </c>
    </row>
    <row r="20" spans="1:3" x14ac:dyDescent="0.3">
      <c r="A20" s="2">
        <v>46019</v>
      </c>
      <c r="B20" t="s">
        <v>152</v>
      </c>
      <c r="C20">
        <v>595.58000000000004</v>
      </c>
    </row>
    <row r="21" spans="1:3" x14ac:dyDescent="0.3">
      <c r="A21" s="2">
        <v>46023</v>
      </c>
      <c r="B21" t="s">
        <v>153</v>
      </c>
      <c r="C21">
        <v>1314.17</v>
      </c>
    </row>
    <row r="22" spans="1:3" x14ac:dyDescent="0.3">
      <c r="A22" s="2">
        <v>46024</v>
      </c>
      <c r="B22" t="s">
        <v>154</v>
      </c>
      <c r="C22">
        <f>E29</f>
        <v>0</v>
      </c>
    </row>
    <row r="23" spans="1:3" x14ac:dyDescent="0.3">
      <c r="A23" s="2">
        <v>46025</v>
      </c>
      <c r="B23" t="s">
        <v>155</v>
      </c>
      <c r="C23">
        <f>E14</f>
        <v>0</v>
      </c>
    </row>
    <row r="24" spans="1:3" x14ac:dyDescent="0.3">
      <c r="A24" s="2">
        <v>46025</v>
      </c>
      <c r="B24" t="s">
        <v>156</v>
      </c>
      <c r="C24">
        <f>E21</f>
        <v>0</v>
      </c>
    </row>
    <row r="25" spans="1:3" x14ac:dyDescent="0.3">
      <c r="A25" s="2">
        <v>46025</v>
      </c>
      <c r="B25" t="s">
        <v>157</v>
      </c>
      <c r="C25">
        <f>E30</f>
        <v>0</v>
      </c>
    </row>
    <row r="26" spans="1:3" x14ac:dyDescent="0.3">
      <c r="A26" s="2">
        <v>46028</v>
      </c>
      <c r="B26" t="s">
        <v>158</v>
      </c>
      <c r="C26">
        <f>E35</f>
        <v>0</v>
      </c>
    </row>
    <row r="27" spans="1:3" x14ac:dyDescent="0.3">
      <c r="A27" s="2">
        <v>46030</v>
      </c>
      <c r="B27" t="s">
        <v>159</v>
      </c>
      <c r="C27">
        <f>E16</f>
        <v>0</v>
      </c>
    </row>
    <row r="28" spans="1:3" x14ac:dyDescent="0.3">
      <c r="A28" s="2">
        <v>46030</v>
      </c>
      <c r="B28" t="s">
        <v>160</v>
      </c>
      <c r="C28">
        <v>943.43</v>
      </c>
    </row>
    <row r="29" spans="1:3" x14ac:dyDescent="0.3">
      <c r="A29" s="2">
        <v>46032</v>
      </c>
      <c r="B29" t="s">
        <v>161</v>
      </c>
      <c r="C29">
        <f>E7</f>
        <v>0</v>
      </c>
    </row>
    <row r="30" spans="1:3" x14ac:dyDescent="0.3">
      <c r="A30" s="2">
        <v>46032</v>
      </c>
      <c r="B30" t="s">
        <v>162</v>
      </c>
      <c r="C30">
        <v>947.82</v>
      </c>
    </row>
    <row r="31" spans="1:3" x14ac:dyDescent="0.3">
      <c r="A31" s="2">
        <v>46036</v>
      </c>
      <c r="B31" t="s">
        <v>163</v>
      </c>
      <c r="C31">
        <v>570.02</v>
      </c>
    </row>
    <row r="32" spans="1:3" x14ac:dyDescent="0.3">
      <c r="A32" s="2">
        <v>46036</v>
      </c>
      <c r="B32" t="s">
        <v>164</v>
      </c>
      <c r="C32">
        <f>E31</f>
        <v>0</v>
      </c>
    </row>
    <row r="33" spans="1:3" x14ac:dyDescent="0.3">
      <c r="A33" s="2">
        <v>46037</v>
      </c>
      <c r="B33" t="s">
        <v>165</v>
      </c>
      <c r="C33">
        <f>E19</f>
        <v>0</v>
      </c>
    </row>
    <row r="34" spans="1:3" x14ac:dyDescent="0.3">
      <c r="A34" s="2">
        <v>46037</v>
      </c>
      <c r="B34" t="s">
        <v>166</v>
      </c>
      <c r="C34">
        <f>E26</f>
        <v>0</v>
      </c>
    </row>
    <row r="35" spans="1:3" x14ac:dyDescent="0.3">
      <c r="A35" s="2">
        <v>46038</v>
      </c>
      <c r="B35" t="s">
        <v>167</v>
      </c>
      <c r="C35">
        <v>1609.05</v>
      </c>
    </row>
    <row r="36" spans="1:3" x14ac:dyDescent="0.3">
      <c r="A36" s="2">
        <v>46040</v>
      </c>
      <c r="B36" t="s">
        <v>168</v>
      </c>
      <c r="C36">
        <f>E34</f>
        <v>0</v>
      </c>
    </row>
    <row r="37" spans="1:3" x14ac:dyDescent="0.3">
      <c r="A37" s="2">
        <v>46043</v>
      </c>
      <c r="B37" t="s">
        <v>169</v>
      </c>
      <c r="C37">
        <f>E3</f>
        <v>0</v>
      </c>
    </row>
    <row r="38" spans="1:3" x14ac:dyDescent="0.3">
      <c r="A38" s="2">
        <v>46048</v>
      </c>
      <c r="B38" t="s">
        <v>170</v>
      </c>
      <c r="C38">
        <f>E33</f>
        <v>0</v>
      </c>
    </row>
    <row r="39" spans="1:3" x14ac:dyDescent="0.3">
      <c r="A39" s="2">
        <v>46049</v>
      </c>
      <c r="B39" t="s">
        <v>171</v>
      </c>
      <c r="C39">
        <f>E36</f>
        <v>0</v>
      </c>
    </row>
    <row r="40" spans="1:3" x14ac:dyDescent="0.3">
      <c r="A40" s="2">
        <v>46051</v>
      </c>
      <c r="B40" t="s">
        <v>172</v>
      </c>
      <c r="C40">
        <f>E24</f>
        <v>0</v>
      </c>
    </row>
    <row r="41" spans="1:3" x14ac:dyDescent="0.3">
      <c r="A41" s="2">
        <v>46054</v>
      </c>
      <c r="B41" t="s">
        <v>173</v>
      </c>
      <c r="C41">
        <f>E9</f>
        <v>0</v>
      </c>
    </row>
    <row r="42" spans="1:3" x14ac:dyDescent="0.3">
      <c r="A42" s="2">
        <v>46056</v>
      </c>
      <c r="B42" t="s">
        <v>174</v>
      </c>
      <c r="C42">
        <f>E18</f>
        <v>0</v>
      </c>
    </row>
    <row r="43" spans="1:3" x14ac:dyDescent="0.3">
      <c r="A43" s="2">
        <v>46057</v>
      </c>
      <c r="B43" t="s">
        <v>175</v>
      </c>
      <c r="C43">
        <f>E2</f>
        <v>0</v>
      </c>
    </row>
    <row r="44" spans="1:3" x14ac:dyDescent="0.3">
      <c r="A44" s="2">
        <v>46061</v>
      </c>
      <c r="B44" t="s">
        <v>176</v>
      </c>
      <c r="C44">
        <f>E6</f>
        <v>0</v>
      </c>
    </row>
    <row r="45" spans="1:3" x14ac:dyDescent="0.3">
      <c r="A45" s="2">
        <v>46062</v>
      </c>
      <c r="B45" t="s">
        <v>177</v>
      </c>
      <c r="C45">
        <f>E23</f>
        <v>0</v>
      </c>
    </row>
    <row r="46" spans="1:3" x14ac:dyDescent="0.3">
      <c r="A46" s="2">
        <v>46062</v>
      </c>
      <c r="B46" t="s">
        <v>178</v>
      </c>
      <c r="C46">
        <f>E28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workbookViewId="0">
      <pane ySplit="1" topLeftCell="A15" activePane="bottomLeft" state="frozen"/>
      <selection pane="bottomLeft" activeCell="J21" sqref="J21"/>
    </sheetView>
  </sheetViews>
  <sheetFormatPr baseColWidth="10" defaultColWidth="8.88671875" defaultRowHeight="14.4" x14ac:dyDescent="0.3"/>
  <cols>
    <col min="1" max="1" width="12" customWidth="1"/>
    <col min="2" max="2" width="42" customWidth="1"/>
    <col min="3" max="4" width="10" customWidth="1"/>
    <col min="5" max="6" width="14" customWidth="1"/>
  </cols>
  <sheetData>
    <row r="1" spans="1:6" x14ac:dyDescent="0.3">
      <c r="A1" s="1" t="s">
        <v>179</v>
      </c>
      <c r="B1" s="1" t="s">
        <v>180</v>
      </c>
      <c r="C1" s="1" t="s">
        <v>135</v>
      </c>
      <c r="D1" s="1" t="s">
        <v>181</v>
      </c>
      <c r="E1" s="1" t="s">
        <v>25</v>
      </c>
      <c r="F1" s="1" t="s">
        <v>182</v>
      </c>
    </row>
    <row r="2" spans="1:6" x14ac:dyDescent="0.3">
      <c r="A2">
        <f>Banco!A2</f>
        <v>45963</v>
      </c>
      <c r="B2" t="str">
        <f>Banco!B2</f>
        <v>Comisión bancaria</v>
      </c>
      <c r="C2">
        <f>Banco!C2</f>
        <v>13.93</v>
      </c>
      <c r="D2" t="str">
        <f>IF(ISNUMBER(MATCH(C2,Pagos!$D$2:$D$41,0)),"SI","NO")</f>
        <v>NO</v>
      </c>
      <c r="E2" t="str">
        <f>IF(D2="SI",INDEX(Pagos!$A$2:$A$41,MATCH(C2,Pagos!$D$2:$D$41,0)),"")</f>
        <v/>
      </c>
      <c r="F2" t="str">
        <f t="shared" ref="F2:F46" si="0">IF(B2="Comisión bancaria","Comisión","" &amp; IF(D2="SI","Pago conciliado","Revisar"))</f>
        <v>Comisión</v>
      </c>
    </row>
    <row r="3" spans="1:6" x14ac:dyDescent="0.3">
      <c r="A3">
        <f>Banco!A3</f>
        <v>45967</v>
      </c>
      <c r="B3" t="str">
        <f>Banco!B3</f>
        <v>Pago proveedor (F03-000046)</v>
      </c>
      <c r="C3">
        <f>Banco!C3</f>
        <v>0</v>
      </c>
      <c r="D3" t="str">
        <f>IF(ISNUMBER(MATCH(C3,Pagos!$D$2:$D$41,0)),"SI","NO")</f>
        <v>NO</v>
      </c>
      <c r="E3" t="str">
        <f>IF(D3="SI",INDEX(Pagos!$A$2:$A$41,MATCH(C3,Pagos!$D$2:$D$41,0)),"")</f>
        <v/>
      </c>
      <c r="F3" t="str">
        <f t="shared" si="0"/>
        <v>Revisar</v>
      </c>
    </row>
    <row r="4" spans="1:6" x14ac:dyDescent="0.3">
      <c r="A4">
        <f>Banco!A4</f>
        <v>45978</v>
      </c>
      <c r="B4" t="str">
        <f>Banco!B4</f>
        <v>Comisión bancaria</v>
      </c>
      <c r="C4">
        <f>Banco!C4</f>
        <v>20.72</v>
      </c>
      <c r="D4" t="str">
        <f>IF(ISNUMBER(MATCH(C4,Pagos!$D$2:$D$41,0)),"SI","NO")</f>
        <v>NO</v>
      </c>
      <c r="E4" t="str">
        <f>IF(D4="SI",INDEX(Pagos!$A$2:$A$41,MATCH(C4,Pagos!$D$2:$D$41,0)),"")</f>
        <v/>
      </c>
      <c r="F4" t="str">
        <f t="shared" si="0"/>
        <v>Comisión</v>
      </c>
    </row>
    <row r="5" spans="1:6" x14ac:dyDescent="0.3">
      <c r="A5">
        <f>Banco!A5</f>
        <v>45984</v>
      </c>
      <c r="B5" t="str">
        <f>Banco!B5</f>
        <v>Pago proveedor (F03-000016)</v>
      </c>
      <c r="C5">
        <f>Banco!C5</f>
        <v>0</v>
      </c>
      <c r="D5" t="str">
        <f>IF(ISNUMBER(MATCH(C5,Pagos!$D$2:$D$41,0)),"SI","NO")</f>
        <v>NO</v>
      </c>
      <c r="E5" t="str">
        <f>IF(D5="SI",INDEX(Pagos!$A$2:$A$41,MATCH(C5,Pagos!$D$2:$D$41,0)),"")</f>
        <v/>
      </c>
      <c r="F5" t="str">
        <f t="shared" si="0"/>
        <v>Revisar</v>
      </c>
    </row>
    <row r="6" spans="1:6" x14ac:dyDescent="0.3">
      <c r="A6">
        <f>Banco!A6</f>
        <v>45989</v>
      </c>
      <c r="B6" t="str">
        <f>Banco!B6</f>
        <v>Comisión bancaria</v>
      </c>
      <c r="C6">
        <f>Banco!C6</f>
        <v>15.12</v>
      </c>
      <c r="D6" t="str">
        <f>IF(ISNUMBER(MATCH(C6,Pagos!$D$2:$D$41,0)),"SI","NO")</f>
        <v>NO</v>
      </c>
      <c r="E6" t="str">
        <f>IF(D6="SI",INDEX(Pagos!$A$2:$A$41,MATCH(C6,Pagos!$D$2:$D$41,0)),"")</f>
        <v/>
      </c>
      <c r="F6" t="str">
        <f t="shared" si="0"/>
        <v>Comisión</v>
      </c>
    </row>
    <row r="7" spans="1:6" x14ac:dyDescent="0.3">
      <c r="A7">
        <f>Banco!A7</f>
        <v>45991</v>
      </c>
      <c r="B7" t="str">
        <f>Banco!B7</f>
        <v>Comisión bancaria</v>
      </c>
      <c r="C7">
        <f>Banco!C7</f>
        <v>16.18</v>
      </c>
      <c r="D7" t="str">
        <f>IF(ISNUMBER(MATCH(C7,Pagos!$D$2:$D$41,0)),"SI","NO")</f>
        <v>NO</v>
      </c>
      <c r="E7" t="str">
        <f>IF(D7="SI",INDEX(Pagos!$A$2:$A$41,MATCH(C7,Pagos!$D$2:$D$41,0)),"")</f>
        <v/>
      </c>
      <c r="F7" t="str">
        <f t="shared" si="0"/>
        <v>Comisión</v>
      </c>
    </row>
    <row r="8" spans="1:6" x14ac:dyDescent="0.3">
      <c r="A8">
        <f>Banco!A8</f>
        <v>45992</v>
      </c>
      <c r="B8" t="str">
        <f>Banco!B8</f>
        <v>Pago proveedor (F03-000067)</v>
      </c>
      <c r="C8">
        <f>Banco!C8</f>
        <v>1024.72</v>
      </c>
      <c r="D8" t="str">
        <f>IF(ISNUMBER(MATCH(C8,Pagos!$D$2:$D$41,0)),"SI","NO")</f>
        <v>SI</v>
      </c>
      <c r="E8" t="str">
        <f>IF(D8="SI",INDEX(Pagos!$A$2:$A$41,MATCH(C8,Pagos!$D$2:$D$41,0)),"")</f>
        <v>F03-000067</v>
      </c>
      <c r="F8" t="str">
        <f t="shared" si="0"/>
        <v>Pago conciliado</v>
      </c>
    </row>
    <row r="9" spans="1:6" x14ac:dyDescent="0.3">
      <c r="A9">
        <f>Banco!A9</f>
        <v>45992</v>
      </c>
      <c r="B9" t="str">
        <f>Banco!B9</f>
        <v>Pago proveedor (F01-000069)</v>
      </c>
      <c r="C9">
        <f>Banco!C9</f>
        <v>591.75</v>
      </c>
      <c r="D9" t="str">
        <f>IF(ISNUMBER(MATCH(C9,Pagos!$D$2:$D$41,0)),"SI","NO")</f>
        <v>SI</v>
      </c>
      <c r="E9" t="str">
        <f>IF(D9="SI",INDEX(Pagos!$A$2:$A$41,MATCH(C9,Pagos!$D$2:$D$41,0)),"")</f>
        <v>F01-000069</v>
      </c>
      <c r="F9" t="str">
        <f t="shared" si="0"/>
        <v>Pago conciliado</v>
      </c>
    </row>
    <row r="10" spans="1:6" x14ac:dyDescent="0.3">
      <c r="A10">
        <f>Banco!A10</f>
        <v>45996</v>
      </c>
      <c r="B10" t="str">
        <f>Banco!B10</f>
        <v>Pago proveedor (F03-000055)</v>
      </c>
      <c r="C10">
        <f>Banco!C10</f>
        <v>0</v>
      </c>
      <c r="D10" t="str">
        <f>IF(ISNUMBER(MATCH(C10,Pagos!$D$2:$D$41,0)),"SI","NO")</f>
        <v>NO</v>
      </c>
      <c r="E10" t="str">
        <f>IF(D10="SI",INDEX(Pagos!$A$2:$A$41,MATCH(C10,Pagos!$D$2:$D$41,0)),"")</f>
        <v/>
      </c>
      <c r="F10" t="str">
        <f t="shared" si="0"/>
        <v>Revisar</v>
      </c>
    </row>
    <row r="11" spans="1:6" x14ac:dyDescent="0.3">
      <c r="A11">
        <f>Banco!A11</f>
        <v>45997</v>
      </c>
      <c r="B11" t="str">
        <f>Banco!B11</f>
        <v>Pago proveedor (F03-000034)</v>
      </c>
      <c r="C11">
        <f>Banco!C11</f>
        <v>0</v>
      </c>
      <c r="D11" t="str">
        <f>IF(ISNUMBER(MATCH(C11,Pagos!$D$2:$D$41,0)),"SI","NO")</f>
        <v>NO</v>
      </c>
      <c r="E11" t="str">
        <f>IF(D11="SI",INDEX(Pagos!$A$2:$A$41,MATCH(C11,Pagos!$D$2:$D$41,0)),"")</f>
        <v/>
      </c>
      <c r="F11" t="str">
        <f t="shared" si="0"/>
        <v>Revisar</v>
      </c>
    </row>
    <row r="12" spans="1:6" x14ac:dyDescent="0.3">
      <c r="A12">
        <f>Banco!A12</f>
        <v>46002</v>
      </c>
      <c r="B12" t="str">
        <f>Banco!B12</f>
        <v>Pago proveedor (F01-000027)</v>
      </c>
      <c r="C12">
        <f>Banco!C12</f>
        <v>0</v>
      </c>
      <c r="D12" t="str">
        <f>IF(ISNUMBER(MATCH(C12,Pagos!$D$2:$D$41,0)),"SI","NO")</f>
        <v>NO</v>
      </c>
      <c r="E12" t="str">
        <f>IF(D12="SI",INDEX(Pagos!$A$2:$A$41,MATCH(C12,Pagos!$D$2:$D$41,0)),"")</f>
        <v/>
      </c>
      <c r="F12" t="str">
        <f t="shared" si="0"/>
        <v>Revisar</v>
      </c>
    </row>
    <row r="13" spans="1:6" x14ac:dyDescent="0.3">
      <c r="A13">
        <f>Banco!A13</f>
        <v>46008</v>
      </c>
      <c r="B13" t="str">
        <f>Banco!B13</f>
        <v>Pago proveedor (F02-000018)</v>
      </c>
      <c r="C13">
        <f>Banco!C13</f>
        <v>1249.69</v>
      </c>
      <c r="D13" t="str">
        <f>IF(ISNUMBER(MATCH(C13,Pagos!$D$2:$D$41,0)),"SI","NO")</f>
        <v>SI</v>
      </c>
      <c r="E13" t="str">
        <f>IF(D13="SI",INDEX(Pagos!$A$2:$A$41,MATCH(C13,Pagos!$D$2:$D$41,0)),"")</f>
        <v>F02-000018</v>
      </c>
      <c r="F13" t="str">
        <f t="shared" si="0"/>
        <v>Pago conciliado</v>
      </c>
    </row>
    <row r="14" spans="1:6" x14ac:dyDescent="0.3">
      <c r="A14">
        <f>Banco!A14</f>
        <v>46011</v>
      </c>
      <c r="B14" t="str">
        <f>Banco!B14</f>
        <v>Pago proveedor (F03-000087)</v>
      </c>
      <c r="C14">
        <f>Banco!C14</f>
        <v>977.03</v>
      </c>
      <c r="D14" t="str">
        <f>IF(ISNUMBER(MATCH(C14,Pagos!$D$2:$D$41,0)),"SI","NO")</f>
        <v>SI</v>
      </c>
      <c r="E14" t="str">
        <f>IF(D14="SI",INDEX(Pagos!$A$2:$A$41,MATCH(C14,Pagos!$D$2:$D$41,0)),"")</f>
        <v>F03-000087</v>
      </c>
      <c r="F14" t="str">
        <f t="shared" si="0"/>
        <v>Pago conciliado</v>
      </c>
    </row>
    <row r="15" spans="1:6" x14ac:dyDescent="0.3">
      <c r="A15">
        <f>Banco!A15</f>
        <v>46016</v>
      </c>
      <c r="B15" t="str">
        <f>Banco!B15</f>
        <v>Pago proveedor sin referencia</v>
      </c>
      <c r="C15">
        <f>Banco!C15</f>
        <v>608.75</v>
      </c>
      <c r="D15" t="str">
        <f>IF(ISNUMBER(MATCH(C15,Pagos!$D$2:$D$41,0)),"SI","NO")</f>
        <v>NO</v>
      </c>
      <c r="E15" t="str">
        <f>IF(D15="SI",INDEX(Pagos!$A$2:$A$41,MATCH(C15,Pagos!$D$2:$D$41,0)),"")</f>
        <v/>
      </c>
      <c r="F15" t="str">
        <f t="shared" si="0"/>
        <v>Revisar</v>
      </c>
    </row>
    <row r="16" spans="1:6" x14ac:dyDescent="0.3">
      <c r="A16">
        <f>Banco!A16</f>
        <v>46017</v>
      </c>
      <c r="B16" t="str">
        <f>Banco!B16</f>
        <v>Pago proveedor (F01-000006)</v>
      </c>
      <c r="C16">
        <f>Banco!C16</f>
        <v>0</v>
      </c>
      <c r="D16" t="str">
        <f>IF(ISNUMBER(MATCH(C16,Pagos!$D$2:$D$41,0)),"SI","NO")</f>
        <v>NO</v>
      </c>
      <c r="E16" t="str">
        <f>IF(D16="SI",INDEX(Pagos!$A$2:$A$41,MATCH(C16,Pagos!$D$2:$D$41,0)),"")</f>
        <v/>
      </c>
      <c r="F16" t="str">
        <f t="shared" si="0"/>
        <v>Revisar</v>
      </c>
    </row>
    <row r="17" spans="1:6" x14ac:dyDescent="0.3">
      <c r="A17">
        <f>Banco!A17</f>
        <v>46017</v>
      </c>
      <c r="B17" t="str">
        <f>Banco!B17</f>
        <v>Pago proveedor (F01-000064)</v>
      </c>
      <c r="C17">
        <f>Banco!C17</f>
        <v>657.17</v>
      </c>
      <c r="D17" t="str">
        <f>IF(ISNUMBER(MATCH(C17,Pagos!$D$2:$D$41,0)),"SI","NO")</f>
        <v>SI</v>
      </c>
      <c r="E17" t="str">
        <f>IF(D17="SI",INDEX(Pagos!$A$2:$A$41,MATCH(C17,Pagos!$D$2:$D$41,0)),"")</f>
        <v>F01-000064</v>
      </c>
      <c r="F17" t="str">
        <f t="shared" si="0"/>
        <v>Pago conciliado</v>
      </c>
    </row>
    <row r="18" spans="1:6" x14ac:dyDescent="0.3">
      <c r="A18">
        <f>Banco!A18</f>
        <v>46017</v>
      </c>
      <c r="B18" t="str">
        <f>Banco!B18</f>
        <v>Pago proveedor (F01-000048)</v>
      </c>
      <c r="C18">
        <f>Banco!C18</f>
        <v>0</v>
      </c>
      <c r="D18" t="str">
        <f>IF(ISNUMBER(MATCH(C18,Pagos!$D$2:$D$41,0)),"SI","NO")</f>
        <v>NO</v>
      </c>
      <c r="E18" t="str">
        <f>IF(D18="SI",INDEX(Pagos!$A$2:$A$41,MATCH(C18,Pagos!$D$2:$D$41,0)),"")</f>
        <v/>
      </c>
      <c r="F18" t="str">
        <f t="shared" si="0"/>
        <v>Revisar</v>
      </c>
    </row>
    <row r="19" spans="1:6" x14ac:dyDescent="0.3">
      <c r="A19">
        <f>Banco!A19</f>
        <v>46019</v>
      </c>
      <c r="B19" t="str">
        <f>Banco!B19</f>
        <v>Pago proveedor (F01-000054)</v>
      </c>
      <c r="C19">
        <f>Banco!C19</f>
        <v>0</v>
      </c>
      <c r="D19" t="str">
        <f>IF(ISNUMBER(MATCH(C19,Pagos!$D$2:$D$41,0)),"SI","NO")</f>
        <v>NO</v>
      </c>
      <c r="E19" t="str">
        <f>IF(D19="SI",INDEX(Pagos!$A$2:$A$41,MATCH(C19,Pagos!$D$2:$D$41,0)),"")</f>
        <v/>
      </c>
      <c r="F19" t="str">
        <f t="shared" si="0"/>
        <v>Revisar</v>
      </c>
    </row>
    <row r="20" spans="1:6" x14ac:dyDescent="0.3">
      <c r="A20">
        <f>Banco!A20</f>
        <v>46019</v>
      </c>
      <c r="B20" t="str">
        <f>Banco!B20</f>
        <v>Pago proveedor (F02-000051)</v>
      </c>
      <c r="C20">
        <f>Banco!C20</f>
        <v>595.58000000000004</v>
      </c>
      <c r="D20" t="str">
        <f>IF(ISNUMBER(MATCH(C20,Pagos!$D$2:$D$41,0)),"SI","NO")</f>
        <v>SI</v>
      </c>
      <c r="E20" t="str">
        <f>IF(D20="SI",INDEX(Pagos!$A$2:$A$41,MATCH(C20,Pagos!$D$2:$D$41,0)),"")</f>
        <v>F02-000051</v>
      </c>
      <c r="F20" t="str">
        <f t="shared" si="0"/>
        <v>Pago conciliado</v>
      </c>
    </row>
    <row r="21" spans="1:6" x14ac:dyDescent="0.3">
      <c r="A21">
        <f>Banco!A21</f>
        <v>46023</v>
      </c>
      <c r="B21" t="str">
        <f>Banco!B21</f>
        <v>Pago proveedor (F01-000077)</v>
      </c>
      <c r="C21">
        <f>Banco!C21</f>
        <v>1314.17</v>
      </c>
      <c r="D21" t="str">
        <f>IF(ISNUMBER(MATCH(C21,Pagos!$D$2:$D$41,0)),"SI","NO")</f>
        <v>SI</v>
      </c>
      <c r="E21" t="str">
        <f>IF(D21="SI",INDEX(Pagos!$A$2:$A$41,MATCH(C21,Pagos!$D$2:$D$41,0)),"")</f>
        <v>F01-000077</v>
      </c>
      <c r="F21" t="str">
        <f t="shared" si="0"/>
        <v>Pago conciliado</v>
      </c>
    </row>
    <row r="22" spans="1:6" x14ac:dyDescent="0.3">
      <c r="A22">
        <f>Banco!A22</f>
        <v>46024</v>
      </c>
      <c r="B22" t="str">
        <f>Banco!B22</f>
        <v>Pago proveedor (F01-000020)</v>
      </c>
      <c r="C22">
        <f>Banco!C22</f>
        <v>0</v>
      </c>
      <c r="D22" t="str">
        <f>IF(ISNUMBER(MATCH(C22,Pagos!$D$2:$D$41,0)),"SI","NO")</f>
        <v>NO</v>
      </c>
      <c r="E22" t="str">
        <f>IF(D22="SI",INDEX(Pagos!$A$2:$A$41,MATCH(C22,Pagos!$D$2:$D$41,0)),"")</f>
        <v/>
      </c>
      <c r="F22" t="str">
        <f t="shared" si="0"/>
        <v>Revisar</v>
      </c>
    </row>
    <row r="23" spans="1:6" x14ac:dyDescent="0.3">
      <c r="A23">
        <f>Banco!A23</f>
        <v>46025</v>
      </c>
      <c r="B23" t="str">
        <f>Banco!B23</f>
        <v>Pago proveedor (F01-000019)</v>
      </c>
      <c r="C23">
        <f>Banco!C23</f>
        <v>0</v>
      </c>
      <c r="D23" t="str">
        <f>IF(ISNUMBER(MATCH(C23,Pagos!$D$2:$D$41,0)),"SI","NO")</f>
        <v>NO</v>
      </c>
      <c r="E23" t="str">
        <f>IF(D23="SI",INDEX(Pagos!$A$2:$A$41,MATCH(C23,Pagos!$D$2:$D$41,0)),"")</f>
        <v/>
      </c>
      <c r="F23" t="str">
        <f t="shared" si="0"/>
        <v>Revisar</v>
      </c>
    </row>
    <row r="24" spans="1:6" x14ac:dyDescent="0.3">
      <c r="A24">
        <f>Banco!A24</f>
        <v>46025</v>
      </c>
      <c r="B24" t="str">
        <f>Banco!B24</f>
        <v>Pago proveedor (F03-000085)</v>
      </c>
      <c r="C24">
        <f>Banco!C24</f>
        <v>0</v>
      </c>
      <c r="D24" t="str">
        <f>IF(ISNUMBER(MATCH(C24,Pagos!$D$2:$D$41,0)),"SI","NO")</f>
        <v>NO</v>
      </c>
      <c r="E24" t="str">
        <f>IF(D24="SI",INDEX(Pagos!$A$2:$A$41,MATCH(C24,Pagos!$D$2:$D$41,0)),"")</f>
        <v/>
      </c>
      <c r="F24" t="str">
        <f t="shared" si="0"/>
        <v>Revisar</v>
      </c>
    </row>
    <row r="25" spans="1:6" x14ac:dyDescent="0.3">
      <c r="A25">
        <f>Banco!A25</f>
        <v>46025</v>
      </c>
      <c r="B25" t="str">
        <f>Banco!B25</f>
        <v>Pago proveedor (F03-000011)</v>
      </c>
      <c r="C25">
        <f>Banco!C25</f>
        <v>0</v>
      </c>
      <c r="D25" t="str">
        <f>IF(ISNUMBER(MATCH(C25,Pagos!$D$2:$D$41,0)),"SI","NO")</f>
        <v>NO</v>
      </c>
      <c r="E25" t="str">
        <f>IF(D25="SI",INDEX(Pagos!$A$2:$A$41,MATCH(C25,Pagos!$D$2:$D$41,0)),"")</f>
        <v/>
      </c>
      <c r="F25" t="str">
        <f t="shared" si="0"/>
        <v>Revisar</v>
      </c>
    </row>
    <row r="26" spans="1:6" x14ac:dyDescent="0.3">
      <c r="A26">
        <f>Banco!A26</f>
        <v>46028</v>
      </c>
      <c r="B26" t="str">
        <f>Banco!B26</f>
        <v>Pago proveedor (F02-000024)</v>
      </c>
      <c r="C26">
        <f>Banco!C26</f>
        <v>0</v>
      </c>
      <c r="D26" t="str">
        <f>IF(ISNUMBER(MATCH(C26,Pagos!$D$2:$D$41,0)),"SI","NO")</f>
        <v>NO</v>
      </c>
      <c r="E26" t="str">
        <f>IF(D26="SI",INDEX(Pagos!$A$2:$A$41,MATCH(C26,Pagos!$D$2:$D$41,0)),"")</f>
        <v/>
      </c>
      <c r="F26" t="str">
        <f t="shared" si="0"/>
        <v>Revisar</v>
      </c>
    </row>
    <row r="27" spans="1:6" x14ac:dyDescent="0.3">
      <c r="A27">
        <f>Banco!A27</f>
        <v>46030</v>
      </c>
      <c r="B27" t="str">
        <f>Banco!B27</f>
        <v>Pago proveedor (F01-000044)</v>
      </c>
      <c r="C27">
        <f>Banco!C27</f>
        <v>0</v>
      </c>
      <c r="D27" t="str">
        <f>IF(ISNUMBER(MATCH(C27,Pagos!$D$2:$D$41,0)),"SI","NO")</f>
        <v>NO</v>
      </c>
      <c r="E27" t="str">
        <f>IF(D27="SI",INDEX(Pagos!$A$2:$A$41,MATCH(C27,Pagos!$D$2:$D$41,0)),"")</f>
        <v/>
      </c>
      <c r="F27" t="str">
        <f t="shared" si="0"/>
        <v>Revisar</v>
      </c>
    </row>
    <row r="28" spans="1:6" x14ac:dyDescent="0.3">
      <c r="A28">
        <f>Banco!A28</f>
        <v>46030</v>
      </c>
      <c r="B28" t="str">
        <f>Banco!B28</f>
        <v>Pago proveedor (F03-000088)</v>
      </c>
      <c r="C28">
        <f>Banco!C28</f>
        <v>943.43</v>
      </c>
      <c r="D28" t="str">
        <f>IF(ISNUMBER(MATCH(C28,Pagos!$D$2:$D$41,0)),"SI","NO")</f>
        <v>SI</v>
      </c>
      <c r="E28" t="str">
        <f>IF(D28="SI",INDEX(Pagos!$A$2:$A$41,MATCH(C28,Pagos!$D$2:$D$41,0)),"")</f>
        <v>F03-000088</v>
      </c>
      <c r="F28" t="str">
        <f t="shared" si="0"/>
        <v>Pago conciliado</v>
      </c>
    </row>
    <row r="29" spans="1:6" x14ac:dyDescent="0.3">
      <c r="A29">
        <f>Banco!A29</f>
        <v>46032</v>
      </c>
      <c r="B29" t="str">
        <f>Banco!B29</f>
        <v>Pago proveedor (F03-000060)</v>
      </c>
      <c r="C29">
        <f>Banco!C29</f>
        <v>0</v>
      </c>
      <c r="D29" t="str">
        <f>IF(ISNUMBER(MATCH(C29,Pagos!$D$2:$D$41,0)),"SI","NO")</f>
        <v>NO</v>
      </c>
      <c r="E29" t="str">
        <f>IF(D29="SI",INDEX(Pagos!$A$2:$A$41,MATCH(C29,Pagos!$D$2:$D$41,0)),"")</f>
        <v/>
      </c>
      <c r="F29" t="str">
        <f t="shared" si="0"/>
        <v>Revisar</v>
      </c>
    </row>
    <row r="30" spans="1:6" x14ac:dyDescent="0.3">
      <c r="A30">
        <f>Banco!A30</f>
        <v>46032</v>
      </c>
      <c r="B30" t="str">
        <f>Banco!B30</f>
        <v>Pago proveedor (F01-000001)</v>
      </c>
      <c r="C30">
        <f>Banco!C30</f>
        <v>947.82</v>
      </c>
      <c r="D30" t="str">
        <f>IF(ISNUMBER(MATCH(C30,Pagos!$D$2:$D$41,0)),"SI","NO")</f>
        <v>SI</v>
      </c>
      <c r="E30" t="str">
        <f>IF(D30="SI",INDEX(Pagos!$A$2:$A$41,MATCH(C30,Pagos!$D$2:$D$41,0)),"")</f>
        <v>F01-000001</v>
      </c>
      <c r="F30" t="str">
        <f t="shared" si="0"/>
        <v>Pago conciliado</v>
      </c>
    </row>
    <row r="31" spans="1:6" x14ac:dyDescent="0.3">
      <c r="A31">
        <f>Banco!A31</f>
        <v>46036</v>
      </c>
      <c r="B31" t="str">
        <f>Banco!B31</f>
        <v>Pago proveedor (F03-000076)</v>
      </c>
      <c r="C31">
        <f>Banco!C31</f>
        <v>570.02</v>
      </c>
      <c r="D31" t="str">
        <f>IF(ISNUMBER(MATCH(C31,Pagos!$D$2:$D$41,0)),"SI","NO")</f>
        <v>SI</v>
      </c>
      <c r="E31" t="str">
        <f>IF(D31="SI",INDEX(Pagos!$A$2:$A$41,MATCH(C31,Pagos!$D$2:$D$41,0)),"")</f>
        <v>F03-000076</v>
      </c>
      <c r="F31" t="str">
        <f t="shared" si="0"/>
        <v>Pago conciliado</v>
      </c>
    </row>
    <row r="32" spans="1:6" x14ac:dyDescent="0.3">
      <c r="A32">
        <f>Banco!A32</f>
        <v>46036</v>
      </c>
      <c r="B32" t="str">
        <f>Banco!B32</f>
        <v>Pago proveedor (F01-000022)</v>
      </c>
      <c r="C32">
        <f>Banco!C32</f>
        <v>0</v>
      </c>
      <c r="D32" t="str">
        <f>IF(ISNUMBER(MATCH(C32,Pagos!$D$2:$D$41,0)),"SI","NO")</f>
        <v>NO</v>
      </c>
      <c r="E32" t="str">
        <f>IF(D32="SI",INDEX(Pagos!$A$2:$A$41,MATCH(C32,Pagos!$D$2:$D$41,0)),"")</f>
        <v/>
      </c>
      <c r="F32" t="str">
        <f t="shared" si="0"/>
        <v>Revisar</v>
      </c>
    </row>
    <row r="33" spans="1:6" x14ac:dyDescent="0.3">
      <c r="A33">
        <f>Banco!A33</f>
        <v>46037</v>
      </c>
      <c r="B33" t="str">
        <f>Banco!B33</f>
        <v>Pago proveedor (F03-000068)</v>
      </c>
      <c r="C33">
        <f>Banco!C33</f>
        <v>0</v>
      </c>
      <c r="D33" t="str">
        <f>IF(ISNUMBER(MATCH(C33,Pagos!$D$2:$D$41,0)),"SI","NO")</f>
        <v>NO</v>
      </c>
      <c r="E33" t="str">
        <f>IF(D33="SI",INDEX(Pagos!$A$2:$A$41,MATCH(C33,Pagos!$D$2:$D$41,0)),"")</f>
        <v/>
      </c>
      <c r="F33" t="str">
        <f t="shared" si="0"/>
        <v>Revisar</v>
      </c>
    </row>
    <row r="34" spans="1:6" x14ac:dyDescent="0.3">
      <c r="A34">
        <f>Banco!A34</f>
        <v>46037</v>
      </c>
      <c r="B34" t="str">
        <f>Banco!B34</f>
        <v>Pago proveedor (F03-000074)</v>
      </c>
      <c r="C34">
        <f>Banco!C34</f>
        <v>0</v>
      </c>
      <c r="D34" t="str">
        <f>IF(ISNUMBER(MATCH(C34,Pagos!$D$2:$D$41,0)),"SI","NO")</f>
        <v>NO</v>
      </c>
      <c r="E34" t="str">
        <f>IF(D34="SI",INDEX(Pagos!$A$2:$A$41,MATCH(C34,Pagos!$D$2:$D$41,0)),"")</f>
        <v/>
      </c>
      <c r="F34" t="str">
        <f t="shared" si="0"/>
        <v>Revisar</v>
      </c>
    </row>
    <row r="35" spans="1:6" x14ac:dyDescent="0.3">
      <c r="A35">
        <f>Banco!A35</f>
        <v>46038</v>
      </c>
      <c r="B35" t="str">
        <f>Banco!B35</f>
        <v>Pago proveedor (F03-000031)</v>
      </c>
      <c r="C35">
        <f>Banco!C35</f>
        <v>1609.05</v>
      </c>
      <c r="D35" t="str">
        <f>IF(ISNUMBER(MATCH(C35,Pagos!$D$2:$D$41,0)),"SI","NO")</f>
        <v>SI</v>
      </c>
      <c r="E35" t="str">
        <f>IF(D35="SI",INDEX(Pagos!$A$2:$A$41,MATCH(C35,Pagos!$D$2:$D$41,0)),"")</f>
        <v>F03-000031</v>
      </c>
      <c r="F35" t="str">
        <f t="shared" si="0"/>
        <v>Pago conciliado</v>
      </c>
    </row>
    <row r="36" spans="1:6" x14ac:dyDescent="0.3">
      <c r="A36">
        <f>Banco!A36</f>
        <v>46040</v>
      </c>
      <c r="B36" t="str">
        <f>Banco!B36</f>
        <v>Pago proveedor (F01-000050)</v>
      </c>
      <c r="C36">
        <f>Banco!C36</f>
        <v>0</v>
      </c>
      <c r="D36" t="str">
        <f>IF(ISNUMBER(MATCH(C36,Pagos!$D$2:$D$41,0)),"SI","NO")</f>
        <v>NO</v>
      </c>
      <c r="E36" t="str">
        <f>IF(D36="SI",INDEX(Pagos!$A$2:$A$41,MATCH(C36,Pagos!$D$2:$D$41,0)),"")</f>
        <v/>
      </c>
      <c r="F36" t="str">
        <f t="shared" si="0"/>
        <v>Revisar</v>
      </c>
    </row>
    <row r="37" spans="1:6" x14ac:dyDescent="0.3">
      <c r="A37">
        <f>Banco!A37</f>
        <v>46043</v>
      </c>
      <c r="B37" t="str">
        <f>Banco!B37</f>
        <v>Pago proveedor (F01-000062)</v>
      </c>
      <c r="C37">
        <f>Banco!C37</f>
        <v>0</v>
      </c>
      <c r="D37" t="str">
        <f>IF(ISNUMBER(MATCH(C37,Pagos!$D$2:$D$41,0)),"SI","NO")</f>
        <v>NO</v>
      </c>
      <c r="E37" t="str">
        <f>IF(D37="SI",INDEX(Pagos!$A$2:$A$41,MATCH(C37,Pagos!$D$2:$D$41,0)),"")</f>
        <v/>
      </c>
      <c r="F37" t="str">
        <f t="shared" si="0"/>
        <v>Revisar</v>
      </c>
    </row>
    <row r="38" spans="1:6" x14ac:dyDescent="0.3">
      <c r="A38">
        <f>Banco!A38</f>
        <v>46048</v>
      </c>
      <c r="B38" t="str">
        <f>Banco!B38</f>
        <v>Pago proveedor (F03-000083)</v>
      </c>
      <c r="C38">
        <f>Banco!C38</f>
        <v>0</v>
      </c>
      <c r="D38" t="str">
        <f>IF(ISNUMBER(MATCH(C38,Pagos!$D$2:$D$41,0)),"SI","NO")</f>
        <v>NO</v>
      </c>
      <c r="E38" t="str">
        <f>IF(D38="SI",INDEX(Pagos!$A$2:$A$41,MATCH(C38,Pagos!$D$2:$D$41,0)),"")</f>
        <v/>
      </c>
      <c r="F38" t="str">
        <f t="shared" si="0"/>
        <v>Revisar</v>
      </c>
    </row>
    <row r="39" spans="1:6" x14ac:dyDescent="0.3">
      <c r="A39">
        <f>Banco!A39</f>
        <v>46049</v>
      </c>
      <c r="B39" t="str">
        <f>Banco!B39</f>
        <v>Pago proveedor (F03-000042)</v>
      </c>
      <c r="C39">
        <f>Banco!C39</f>
        <v>0</v>
      </c>
      <c r="D39" t="str">
        <f>IF(ISNUMBER(MATCH(C39,Pagos!$D$2:$D$41,0)),"SI","NO")</f>
        <v>NO</v>
      </c>
      <c r="E39" t="str">
        <f>IF(D39="SI",INDEX(Pagos!$A$2:$A$41,MATCH(C39,Pagos!$D$2:$D$41,0)),"")</f>
        <v/>
      </c>
      <c r="F39" t="str">
        <f t="shared" si="0"/>
        <v>Revisar</v>
      </c>
    </row>
    <row r="40" spans="1:6" x14ac:dyDescent="0.3">
      <c r="A40">
        <f>Banco!A40</f>
        <v>46051</v>
      </c>
      <c r="B40" t="str">
        <f>Banco!B40</f>
        <v>Pago proveedor (F03-000010)</v>
      </c>
      <c r="C40">
        <f>Banco!C40</f>
        <v>0</v>
      </c>
      <c r="D40" t="str">
        <f>IF(ISNUMBER(MATCH(C40,Pagos!$D$2:$D$41,0)),"SI","NO")</f>
        <v>NO</v>
      </c>
      <c r="E40" t="str">
        <f>IF(D40="SI",INDEX(Pagos!$A$2:$A$41,MATCH(C40,Pagos!$D$2:$D$41,0)),"")</f>
        <v/>
      </c>
      <c r="F40" t="str">
        <f t="shared" si="0"/>
        <v>Revisar</v>
      </c>
    </row>
    <row r="41" spans="1:6" x14ac:dyDescent="0.3">
      <c r="A41">
        <f>Banco!A41</f>
        <v>46054</v>
      </c>
      <c r="B41" t="str">
        <f>Banco!B41</f>
        <v>Pago proveedor (F01-000058)</v>
      </c>
      <c r="C41">
        <f>Banco!C41</f>
        <v>0</v>
      </c>
      <c r="D41" t="str">
        <f>IF(ISNUMBER(MATCH(C41,Pagos!$D$2:$D$41,0)),"SI","NO")</f>
        <v>NO</v>
      </c>
      <c r="E41" t="str">
        <f>IF(D41="SI",INDEX(Pagos!$A$2:$A$41,MATCH(C41,Pagos!$D$2:$D$41,0)),"")</f>
        <v/>
      </c>
      <c r="F41" t="str">
        <f t="shared" si="0"/>
        <v>Revisar</v>
      </c>
    </row>
    <row r="42" spans="1:6" x14ac:dyDescent="0.3">
      <c r="A42">
        <f>Banco!A42</f>
        <v>46056</v>
      </c>
      <c r="B42" t="str">
        <f>Banco!B42</f>
        <v>Pago proveedor (F03-000084)</v>
      </c>
      <c r="C42">
        <f>Banco!C42</f>
        <v>0</v>
      </c>
      <c r="D42" t="str">
        <f>IF(ISNUMBER(MATCH(C42,Pagos!$D$2:$D$41,0)),"SI","NO")</f>
        <v>NO</v>
      </c>
      <c r="E42" t="str">
        <f>IF(D42="SI",INDEX(Pagos!$A$2:$A$41,MATCH(C42,Pagos!$D$2:$D$41,0)),"")</f>
        <v/>
      </c>
      <c r="F42" t="str">
        <f t="shared" si="0"/>
        <v>Revisar</v>
      </c>
    </row>
    <row r="43" spans="1:6" x14ac:dyDescent="0.3">
      <c r="A43">
        <f>Banco!A43</f>
        <v>46057</v>
      </c>
      <c r="B43" t="str">
        <f>Banco!B43</f>
        <v>Pago proveedor (F01-000015)</v>
      </c>
      <c r="C43">
        <f>Banco!C43</f>
        <v>0</v>
      </c>
      <c r="D43" t="str">
        <f>IF(ISNUMBER(MATCH(C43,Pagos!$D$2:$D$41,0)),"SI","NO")</f>
        <v>NO</v>
      </c>
      <c r="E43" t="str">
        <f>IF(D43="SI",INDEX(Pagos!$A$2:$A$41,MATCH(C43,Pagos!$D$2:$D$41,0)),"")</f>
        <v/>
      </c>
      <c r="F43" t="str">
        <f t="shared" si="0"/>
        <v>Revisar</v>
      </c>
    </row>
    <row r="44" spans="1:6" x14ac:dyDescent="0.3">
      <c r="A44">
        <f>Banco!A44</f>
        <v>46061</v>
      </c>
      <c r="B44" t="str">
        <f>Banco!B44</f>
        <v>Pago proveedor (F01-000080)</v>
      </c>
      <c r="C44">
        <f>Banco!C44</f>
        <v>0</v>
      </c>
      <c r="D44" t="str">
        <f>IF(ISNUMBER(MATCH(C44,Pagos!$D$2:$D$41,0)),"SI","NO")</f>
        <v>NO</v>
      </c>
      <c r="E44" t="str">
        <f>IF(D44="SI",INDEX(Pagos!$A$2:$A$41,MATCH(C44,Pagos!$D$2:$D$41,0)),"")</f>
        <v/>
      </c>
      <c r="F44" t="str">
        <f t="shared" si="0"/>
        <v>Revisar</v>
      </c>
    </row>
    <row r="45" spans="1:6" x14ac:dyDescent="0.3">
      <c r="A45">
        <f>Banco!A45</f>
        <v>46062</v>
      </c>
      <c r="B45" t="str">
        <f>Banco!B45</f>
        <v>Pago proveedor (F02-000041)</v>
      </c>
      <c r="C45">
        <f>Banco!C45</f>
        <v>0</v>
      </c>
      <c r="D45" t="str">
        <f>IF(ISNUMBER(MATCH(C45,Pagos!$D$2:$D$41,0)),"SI","NO")</f>
        <v>NO</v>
      </c>
      <c r="E45" t="str">
        <f>IF(D45="SI",INDEX(Pagos!$A$2:$A$41,MATCH(C45,Pagos!$D$2:$D$41,0)),"")</f>
        <v/>
      </c>
      <c r="F45" t="str">
        <f t="shared" si="0"/>
        <v>Revisar</v>
      </c>
    </row>
    <row r="46" spans="1:6" x14ac:dyDescent="0.3">
      <c r="A46">
        <f>Banco!A46</f>
        <v>46062</v>
      </c>
      <c r="B46" t="str">
        <f>Banco!B46</f>
        <v>Pago proveedor (F01-000075)</v>
      </c>
      <c r="C46">
        <f>Banco!C46</f>
        <v>0</v>
      </c>
      <c r="D46" t="str">
        <f>IF(ISNUMBER(MATCH(C46,Pagos!$D$2:$D$41,0)),"SI","NO")</f>
        <v>NO</v>
      </c>
      <c r="E46" t="str">
        <f>IF(D46="SI",INDEX(Pagos!$A$2:$A$41,MATCH(C46,Pagos!$D$2:$D$41,0)),"")</f>
        <v/>
      </c>
      <c r="F46" t="str">
        <f t="shared" si="0"/>
        <v>Revisar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"/>
  <sheetViews>
    <sheetView topLeftCell="A21" zoomScale="80" zoomScaleNormal="80" workbookViewId="0">
      <selection activeCell="B48" sqref="B47:B48"/>
    </sheetView>
  </sheetViews>
  <sheetFormatPr baseColWidth="10" defaultColWidth="8.88671875" defaultRowHeight="14.4" x14ac:dyDescent="0.3"/>
  <cols>
    <col min="1" max="1" width="30" bestFit="1" customWidth="1"/>
    <col min="2" max="2" width="17.109375" bestFit="1" customWidth="1"/>
    <col min="3" max="3" width="11" bestFit="1" customWidth="1"/>
  </cols>
  <sheetData>
    <row r="1" spans="1:2" ht="18" x14ac:dyDescent="0.35">
      <c r="A1" s="3" t="s">
        <v>183</v>
      </c>
    </row>
    <row r="3" spans="1:2" x14ac:dyDescent="0.3">
      <c r="A3" s="4" t="s">
        <v>184</v>
      </c>
      <c r="B3" s="5">
        <f>SUM(Facturas!F2:F91)</f>
        <v>203522.71839999993</v>
      </c>
    </row>
    <row r="4" spans="1:2" x14ac:dyDescent="0.3">
      <c r="A4" s="4" t="s">
        <v>185</v>
      </c>
      <c r="B4" s="5">
        <f>B3-SUM(Pagos!D2:D41)</f>
        <v>124935.6265999999</v>
      </c>
    </row>
    <row r="5" spans="1:2" x14ac:dyDescent="0.3">
      <c r="A5" s="4" t="s">
        <v>186</v>
      </c>
      <c r="B5" s="6">
        <f ca="1">COUNTIF(Facturas!J2:J91,"&lt;"&amp;TODAY())</f>
        <v>42</v>
      </c>
    </row>
    <row r="6" spans="1:2" x14ac:dyDescent="0.3">
      <c r="A6" s="4" t="s">
        <v>187</v>
      </c>
      <c r="B6" s="5">
        <f>SUM(Pagos!D2:D41)</f>
        <v>78587.091800000024</v>
      </c>
    </row>
    <row r="7" spans="1:2" x14ac:dyDescent="0.3">
      <c r="A7" s="4" t="s">
        <v>188</v>
      </c>
      <c r="B7" s="5">
        <f>SUM(Facturas!I2:I91)</f>
        <v>7220.5752880000009</v>
      </c>
    </row>
    <row r="12" spans="1:2" x14ac:dyDescent="0.3">
      <c r="A12" s="10" t="s">
        <v>192</v>
      </c>
      <c r="B12" t="s">
        <v>194</v>
      </c>
    </row>
    <row r="13" spans="1:2" x14ac:dyDescent="0.3">
      <c r="A13" s="11" t="s">
        <v>37</v>
      </c>
      <c r="B13">
        <v>56</v>
      </c>
    </row>
    <row r="14" spans="1:2" x14ac:dyDescent="0.3">
      <c r="A14" s="11" t="s">
        <v>33</v>
      </c>
      <c r="B14">
        <v>34</v>
      </c>
    </row>
    <row r="15" spans="1:2" x14ac:dyDescent="0.3">
      <c r="A15" s="11" t="s">
        <v>190</v>
      </c>
      <c r="B15">
        <v>90</v>
      </c>
    </row>
    <row r="19" spans="1:2" x14ac:dyDescent="0.3">
      <c r="A19" s="10" t="s">
        <v>193</v>
      </c>
      <c r="B19" t="s">
        <v>195</v>
      </c>
    </row>
    <row r="20" spans="1:2" x14ac:dyDescent="0.3">
      <c r="A20" s="11" t="s">
        <v>20</v>
      </c>
      <c r="B20" s="12">
        <v>31720.004800000002</v>
      </c>
    </row>
    <row r="21" spans="1:2" x14ac:dyDescent="0.3">
      <c r="A21" s="11" t="s">
        <v>4</v>
      </c>
      <c r="B21" s="12">
        <v>30535.390999999992</v>
      </c>
    </row>
    <row r="22" spans="1:2" x14ac:dyDescent="0.3">
      <c r="A22" s="11" t="s">
        <v>6</v>
      </c>
      <c r="B22" s="12">
        <v>27356.884000000002</v>
      </c>
    </row>
    <row r="23" spans="1:2" x14ac:dyDescent="0.3">
      <c r="A23" s="11" t="s">
        <v>8</v>
      </c>
      <c r="B23" s="12">
        <v>25449.921399999999</v>
      </c>
    </row>
    <row r="24" spans="1:2" x14ac:dyDescent="0.3">
      <c r="A24" s="11" t="s">
        <v>22</v>
      </c>
      <c r="B24" s="12">
        <v>20209.2346</v>
      </c>
    </row>
    <row r="25" spans="1:2" x14ac:dyDescent="0.3">
      <c r="A25" s="11" t="s">
        <v>14</v>
      </c>
      <c r="B25" s="12">
        <v>20047.079000000002</v>
      </c>
    </row>
    <row r="26" spans="1:2" x14ac:dyDescent="0.3">
      <c r="A26" s="11" t="s">
        <v>12</v>
      </c>
      <c r="B26" s="12">
        <v>18339.2768</v>
      </c>
    </row>
    <row r="27" spans="1:2" x14ac:dyDescent="0.3">
      <c r="A27" s="11" t="s">
        <v>18</v>
      </c>
      <c r="B27" s="12">
        <v>12508.932199999999</v>
      </c>
    </row>
    <row r="28" spans="1:2" x14ac:dyDescent="0.3">
      <c r="A28" s="11" t="s">
        <v>16</v>
      </c>
      <c r="B28" s="12">
        <v>11027.914199999999</v>
      </c>
    </row>
    <row r="29" spans="1:2" x14ac:dyDescent="0.3">
      <c r="A29" s="11" t="s">
        <v>10</v>
      </c>
      <c r="B29" s="12">
        <v>6328.0804000000007</v>
      </c>
    </row>
    <row r="30" spans="1:2" x14ac:dyDescent="0.3">
      <c r="A30" s="11" t="s">
        <v>190</v>
      </c>
      <c r="B30">
        <v>203522.71840000001</v>
      </c>
    </row>
    <row r="34" spans="1:3" x14ac:dyDescent="0.3">
      <c r="A34" s="10" t="s">
        <v>31</v>
      </c>
      <c r="B34" t="s">
        <v>196</v>
      </c>
    </row>
    <row r="36" spans="1:3" x14ac:dyDescent="0.3">
      <c r="A36" s="10" t="s">
        <v>189</v>
      </c>
      <c r="B36" t="s">
        <v>191</v>
      </c>
    </row>
    <row r="37" spans="1:3" x14ac:dyDescent="0.3">
      <c r="A37" s="11" t="s">
        <v>197</v>
      </c>
      <c r="B37">
        <v>48</v>
      </c>
    </row>
    <row r="38" spans="1:3" x14ac:dyDescent="0.3">
      <c r="A38" s="11" t="s">
        <v>198</v>
      </c>
      <c r="B38">
        <v>42</v>
      </c>
    </row>
    <row r="39" spans="1:3" x14ac:dyDescent="0.3">
      <c r="A39" s="11" t="s">
        <v>190</v>
      </c>
      <c r="B39">
        <v>90</v>
      </c>
    </row>
    <row r="42" spans="1:3" x14ac:dyDescent="0.3">
      <c r="A42" s="15" t="s">
        <v>194</v>
      </c>
      <c r="B42" s="15"/>
      <c r="C42" s="15" t="s">
        <v>199</v>
      </c>
    </row>
    <row r="43" spans="1:3" x14ac:dyDescent="0.3">
      <c r="A43" s="15">
        <v>203522.71839999993</v>
      </c>
      <c r="B43" s="15"/>
      <c r="C43" s="15">
        <v>78587.091800000024</v>
      </c>
    </row>
    <row r="46" spans="1:3" x14ac:dyDescent="0.3">
      <c r="A46" s="13" t="s">
        <v>200</v>
      </c>
      <c r="B46" s="13" t="s">
        <v>201</v>
      </c>
    </row>
    <row r="47" spans="1:3" x14ac:dyDescent="0.3">
      <c r="A47" s="14" t="s">
        <v>202</v>
      </c>
      <c r="B47" s="16">
        <f>+GETPIVOTDATA("Total",$A$42)</f>
        <v>203522.71839999993</v>
      </c>
    </row>
    <row r="48" spans="1:3" x14ac:dyDescent="0.3">
      <c r="A48" s="14" t="s">
        <v>203</v>
      </c>
      <c r="B48" s="16">
        <f>+GETPIVOTDATA("MontoPagado",$C$42)</f>
        <v>78587.091800000024</v>
      </c>
    </row>
  </sheetData>
  <pageMargins left="0.75" right="0.75" top="1" bottom="1" header="0.5" footer="0.5"/>
  <drawing r:id="rId6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797F-8209-4800-B7A9-02039ECC9C33}">
  <dimension ref="A1:M37"/>
  <sheetViews>
    <sheetView showGridLines="0" tabSelected="1" zoomScale="90" zoomScaleNormal="90" workbookViewId="0">
      <selection activeCell="R17" sqref="R17"/>
    </sheetView>
  </sheetViews>
  <sheetFormatPr baseColWidth="10" defaultRowHeight="14.4" x14ac:dyDescent="0.3"/>
  <cols>
    <col min="1" max="1" width="20.44140625" bestFit="1" customWidth="1"/>
  </cols>
  <sheetData>
    <row r="1" spans="1:13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Proveedores</vt:lpstr>
      <vt:lpstr>Facturas</vt:lpstr>
      <vt:lpstr>Pagos</vt:lpstr>
      <vt:lpstr>Banco</vt:lpstr>
      <vt:lpstr>Conciliación</vt:lpstr>
      <vt:lpstr>Reportes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AGUIRRE LAURA,SEBASTIAN ANDRES</cp:lastModifiedBy>
  <dcterms:created xsi:type="dcterms:W3CDTF">2025-12-28T19:23:33Z</dcterms:created>
  <dcterms:modified xsi:type="dcterms:W3CDTF">2025-12-29T01:24:50Z</dcterms:modified>
</cp:coreProperties>
</file>